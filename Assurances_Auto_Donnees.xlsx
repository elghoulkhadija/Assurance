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hadi\Desktop\"/>
    </mc:Choice>
  </mc:AlternateContent>
  <xr:revisionPtr revIDLastSave="0" documentId="13_ncr:1_{EEDB99B1-2854-4D89-BC6D-5227D664AB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urances_Auto" sheetId="1" r:id="rId1"/>
    <sheet name="Partie_||" sheetId="2" state="hidden" r:id="rId2"/>
    <sheet name="dashbord" sheetId="5" r:id="rId3"/>
  </sheets>
  <definedNames>
    <definedName name="assurance">Assurances_Auto!$A$1:$Q$41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" i="1" l="1"/>
  <c r="N3" i="1"/>
  <c r="N4" i="1"/>
  <c r="O4" i="1" s="1"/>
  <c r="P4" i="1" s="1"/>
  <c r="Q4" i="1" s="1"/>
  <c r="N5" i="1"/>
  <c r="O5" i="1" s="1"/>
  <c r="P5" i="1" s="1"/>
  <c r="Q5" i="1" s="1"/>
  <c r="N6" i="1"/>
  <c r="N7" i="1"/>
  <c r="N8" i="1"/>
  <c r="O8" i="1" s="1"/>
  <c r="P8" i="1" s="1"/>
  <c r="Q8" i="1" s="1"/>
  <c r="N9" i="1"/>
  <c r="O9" i="1" s="1"/>
  <c r="P9" i="1" s="1"/>
  <c r="Q9" i="1" s="1"/>
  <c r="N10" i="1"/>
  <c r="O10" i="1" s="1"/>
  <c r="P10" i="1" s="1"/>
  <c r="N11" i="1"/>
  <c r="N12" i="1"/>
  <c r="O12" i="1" s="1"/>
  <c r="P12" i="1" s="1"/>
  <c r="Q12" i="1" s="1"/>
  <c r="N13" i="1"/>
  <c r="O13" i="1" s="1"/>
  <c r="P13" i="1" s="1"/>
  <c r="Q13" i="1" s="1"/>
  <c r="N14" i="1"/>
  <c r="N15" i="1"/>
  <c r="N16" i="1"/>
  <c r="O16" i="1" s="1"/>
  <c r="P16" i="1" s="1"/>
  <c r="Q16" i="1" s="1"/>
  <c r="N17" i="1"/>
  <c r="O17" i="1" s="1"/>
  <c r="P17" i="1" s="1"/>
  <c r="Q17" i="1" s="1"/>
  <c r="N18" i="1"/>
  <c r="O18" i="1" s="1"/>
  <c r="P18" i="1" s="1"/>
  <c r="N19" i="1"/>
  <c r="N20" i="1"/>
  <c r="O20" i="1" s="1"/>
  <c r="P20" i="1" s="1"/>
  <c r="Q20" i="1" s="1"/>
  <c r="N21" i="1"/>
  <c r="O21" i="1" s="1"/>
  <c r="P21" i="1" s="1"/>
  <c r="Q21" i="1" s="1"/>
  <c r="N22" i="1"/>
  <c r="N23" i="1"/>
  <c r="N24" i="1"/>
  <c r="O24" i="1" s="1"/>
  <c r="P24" i="1" s="1"/>
  <c r="Q24" i="1" s="1"/>
  <c r="N25" i="1"/>
  <c r="O25" i="1" s="1"/>
  <c r="P25" i="1" s="1"/>
  <c r="Q25" i="1" s="1"/>
  <c r="N26" i="1"/>
  <c r="O26" i="1" s="1"/>
  <c r="P26" i="1" s="1"/>
  <c r="N27" i="1"/>
  <c r="N28" i="1"/>
  <c r="O28" i="1" s="1"/>
  <c r="P28" i="1" s="1"/>
  <c r="Q28" i="1" s="1"/>
  <c r="N29" i="1"/>
  <c r="O29" i="1" s="1"/>
  <c r="P29" i="1" s="1"/>
  <c r="Q29" i="1" s="1"/>
  <c r="N30" i="1"/>
  <c r="N31" i="1"/>
  <c r="N32" i="1"/>
  <c r="O32" i="1" s="1"/>
  <c r="P32" i="1" s="1"/>
  <c r="Q32" i="1" s="1"/>
  <c r="N33" i="1"/>
  <c r="O33" i="1" s="1"/>
  <c r="P33" i="1" s="1"/>
  <c r="Q33" i="1" s="1"/>
  <c r="N34" i="1"/>
  <c r="O34" i="1" s="1"/>
  <c r="P34" i="1" s="1"/>
  <c r="N35" i="1"/>
  <c r="N36" i="1"/>
  <c r="O36" i="1" s="1"/>
  <c r="P36" i="1" s="1"/>
  <c r="Q36" i="1" s="1"/>
  <c r="N37" i="1"/>
  <c r="O37" i="1" s="1"/>
  <c r="P37" i="1" s="1"/>
  <c r="Q37" i="1" s="1"/>
  <c r="N38" i="1"/>
  <c r="N39" i="1"/>
  <c r="N40" i="1"/>
  <c r="O40" i="1" s="1"/>
  <c r="P40" i="1" s="1"/>
  <c r="Q40" i="1" s="1"/>
  <c r="N41" i="1"/>
  <c r="O41" i="1" s="1"/>
  <c r="P41" i="1" s="1"/>
  <c r="Q41" i="1" s="1"/>
  <c r="N2" i="1"/>
  <c r="O2" i="1" s="1"/>
  <c r="P2" i="1" s="1"/>
  <c r="Q2" i="1" s="1"/>
  <c r="S2" i="1"/>
  <c r="O3" i="1"/>
  <c r="P3" i="1" s="1"/>
  <c r="Q3" i="1" s="1"/>
  <c r="O6" i="1"/>
  <c r="P6" i="1" s="1"/>
  <c r="Q6" i="1" s="1"/>
  <c r="O7" i="1"/>
  <c r="P7" i="1" s="1"/>
  <c r="Q7" i="1" s="1"/>
  <c r="O11" i="1"/>
  <c r="P11" i="1" s="1"/>
  <c r="Q11" i="1" s="1"/>
  <c r="O14" i="1"/>
  <c r="P14" i="1" s="1"/>
  <c r="Q14" i="1" s="1"/>
  <c r="O15" i="1"/>
  <c r="P15" i="1" s="1"/>
  <c r="Q15" i="1" s="1"/>
  <c r="O19" i="1"/>
  <c r="P19" i="1" s="1"/>
  <c r="Q19" i="1" s="1"/>
  <c r="O22" i="1"/>
  <c r="P22" i="1" s="1"/>
  <c r="Q22" i="1" s="1"/>
  <c r="O23" i="1"/>
  <c r="P23" i="1" s="1"/>
  <c r="O27" i="1"/>
  <c r="P27" i="1" s="1"/>
  <c r="Q27" i="1" s="1"/>
  <c r="O30" i="1"/>
  <c r="P30" i="1" s="1"/>
  <c r="Q30" i="1" s="1"/>
  <c r="O31" i="1"/>
  <c r="P31" i="1" s="1"/>
  <c r="Q31" i="1" s="1"/>
  <c r="O35" i="1"/>
  <c r="P35" i="1" s="1"/>
  <c r="Q35" i="1" s="1"/>
  <c r="O38" i="1"/>
  <c r="P38" i="1" s="1"/>
  <c r="Q38" i="1" s="1"/>
  <c r="O39" i="1"/>
  <c r="P39" i="1" s="1"/>
  <c r="V39" i="1" s="1"/>
  <c r="Q34" i="1" l="1"/>
  <c r="V34" i="1"/>
  <c r="Q18" i="1"/>
  <c r="V18" i="1"/>
  <c r="Q26" i="1"/>
  <c r="V26" i="1"/>
  <c r="Q23" i="1"/>
  <c r="V23" i="1"/>
  <c r="Q10" i="1"/>
  <c r="V10" i="1"/>
  <c r="V2" i="1"/>
  <c r="V37" i="1"/>
  <c r="V33" i="1"/>
  <c r="V29" i="1"/>
  <c r="V25" i="1"/>
  <c r="V21" i="1"/>
  <c r="V17" i="1"/>
  <c r="V13" i="1"/>
  <c r="V9" i="1"/>
  <c r="V5" i="1"/>
  <c r="V40" i="1"/>
  <c r="V36" i="1"/>
  <c r="V32" i="1"/>
  <c r="V28" i="1"/>
  <c r="V24" i="1"/>
  <c r="V20" i="1"/>
  <c r="V16" i="1"/>
  <c r="V12" i="1"/>
  <c r="V8" i="1"/>
  <c r="V4" i="1"/>
  <c r="V35" i="1"/>
  <c r="V31" i="1"/>
  <c r="V27" i="1"/>
  <c r="V19" i="1"/>
  <c r="V15" i="1"/>
  <c r="V11" i="1"/>
  <c r="V7" i="1"/>
  <c r="V3" i="1"/>
  <c r="U2" i="1"/>
  <c r="V38" i="1"/>
  <c r="V30" i="1"/>
  <c r="V22" i="1"/>
  <c r="V14" i="1"/>
  <c r="V6" i="1"/>
  <c r="V41" i="1"/>
  <c r="Q39" i="1"/>
  <c r="T2" i="1"/>
</calcChain>
</file>

<file path=xl/sharedStrings.xml><?xml version="1.0" encoding="utf-8"?>
<sst xmlns="http://schemas.openxmlformats.org/spreadsheetml/2006/main" count="346" uniqueCount="174">
  <si>
    <t>ID_Client</t>
  </si>
  <si>
    <t>Nom</t>
  </si>
  <si>
    <t>Prénom</t>
  </si>
  <si>
    <t>CIN</t>
  </si>
  <si>
    <t>Ville</t>
  </si>
  <si>
    <t>Type_Vehicule</t>
  </si>
  <si>
    <t>Marque</t>
  </si>
  <si>
    <t>Année_Vehicule</t>
  </si>
  <si>
    <t>Valeur_Vehicule</t>
  </si>
  <si>
    <t>Type_Assurance</t>
  </si>
  <si>
    <t>Date_Souscription</t>
  </si>
  <si>
    <t>Durée</t>
  </si>
  <si>
    <t>Prime_Base</t>
  </si>
  <si>
    <t>Taux_Risque</t>
  </si>
  <si>
    <t>Montant_Risque</t>
  </si>
  <si>
    <t>Prime_Totale</t>
  </si>
  <si>
    <t>Statut_Client</t>
  </si>
  <si>
    <t>El Amrani</t>
  </si>
  <si>
    <t>Youssef</t>
  </si>
  <si>
    <t>AB00001</t>
  </si>
  <si>
    <t>Ouarzazate</t>
  </si>
  <si>
    <t>Moto</t>
  </si>
  <si>
    <t>Renault</t>
  </si>
  <si>
    <t>Tiers+</t>
  </si>
  <si>
    <t>Ait Lahcen</t>
  </si>
  <si>
    <t>Fatima</t>
  </si>
  <si>
    <t>AB00002</t>
  </si>
  <si>
    <t>Camion</t>
  </si>
  <si>
    <t>Toyota</t>
  </si>
  <si>
    <t>Tous Risques</t>
  </si>
  <si>
    <t>Benali</t>
  </si>
  <si>
    <t>Ahmed</t>
  </si>
  <si>
    <t>AB00003</t>
  </si>
  <si>
    <t>Marrakech</t>
  </si>
  <si>
    <t>Voiture</t>
  </si>
  <si>
    <t>Hyundai</t>
  </si>
  <si>
    <t>Tiers</t>
  </si>
  <si>
    <t>El Idrissi</t>
  </si>
  <si>
    <t>Salma</t>
  </si>
  <si>
    <t>AB00004</t>
  </si>
  <si>
    <t>Rabat</t>
  </si>
  <si>
    <t>Ford</t>
  </si>
  <si>
    <t>Chraibi</t>
  </si>
  <si>
    <t>Mohamed</t>
  </si>
  <si>
    <t>AB00005</t>
  </si>
  <si>
    <t>Casablanca</t>
  </si>
  <si>
    <t>Peugeot</t>
  </si>
  <si>
    <t>Tahiri</t>
  </si>
  <si>
    <t>Khadija</t>
  </si>
  <si>
    <t>AB00006</t>
  </si>
  <si>
    <t>Agadir</t>
  </si>
  <si>
    <t>Dacia</t>
  </si>
  <si>
    <t>Bennani</t>
  </si>
  <si>
    <t>Omar</t>
  </si>
  <si>
    <t>AB00007</t>
  </si>
  <si>
    <t>El Fassi</t>
  </si>
  <si>
    <t>Imane</t>
  </si>
  <si>
    <t>AB00008</t>
  </si>
  <si>
    <t>Fes</t>
  </si>
  <si>
    <t>Alaoui</t>
  </si>
  <si>
    <t>Hassan</t>
  </si>
  <si>
    <t>AB00009</t>
  </si>
  <si>
    <t>Zerouali</t>
  </si>
  <si>
    <t>Nadia</t>
  </si>
  <si>
    <t>AB00010</t>
  </si>
  <si>
    <t>Skalli</t>
  </si>
  <si>
    <t>Abdelilah</t>
  </si>
  <si>
    <t>AB00011</t>
  </si>
  <si>
    <t>Raji</t>
  </si>
  <si>
    <t>Siham</t>
  </si>
  <si>
    <t>AB00012</t>
  </si>
  <si>
    <t>Ouahbi</t>
  </si>
  <si>
    <t>Anas</t>
  </si>
  <si>
    <t>AB00013</t>
  </si>
  <si>
    <t>Amine</t>
  </si>
  <si>
    <t>Soukaina</t>
  </si>
  <si>
    <t>AB00014</t>
  </si>
  <si>
    <t>Mouline</t>
  </si>
  <si>
    <t>Rachid</t>
  </si>
  <si>
    <t>AB00015</t>
  </si>
  <si>
    <t>Lahlou</t>
  </si>
  <si>
    <t>Sara</t>
  </si>
  <si>
    <t>AB00016</t>
  </si>
  <si>
    <t>Kabbaj</t>
  </si>
  <si>
    <t>Yassine</t>
  </si>
  <si>
    <t>AB00017</t>
  </si>
  <si>
    <t>Bouzidi</t>
  </si>
  <si>
    <t>Amina</t>
  </si>
  <si>
    <t>AB00018</t>
  </si>
  <si>
    <t>El Mansouri</t>
  </si>
  <si>
    <t>Karim</t>
  </si>
  <si>
    <t>AB00019</t>
  </si>
  <si>
    <t>Haddad</t>
  </si>
  <si>
    <t>Latifa</t>
  </si>
  <si>
    <t>AB00020</t>
  </si>
  <si>
    <t>Berrada</t>
  </si>
  <si>
    <t>Ayoub</t>
  </si>
  <si>
    <t>AB00021</t>
  </si>
  <si>
    <t>Sbaai</t>
  </si>
  <si>
    <t>Hanane</t>
  </si>
  <si>
    <t>AB00022</t>
  </si>
  <si>
    <t>Ghazali</t>
  </si>
  <si>
    <t>Mehdi</t>
  </si>
  <si>
    <t>AB00023</t>
  </si>
  <si>
    <t>Benkirane</t>
  </si>
  <si>
    <t>Samir</t>
  </si>
  <si>
    <t>AB00024</t>
  </si>
  <si>
    <t>El Khatib</t>
  </si>
  <si>
    <t>Meriem</t>
  </si>
  <si>
    <t>AB00025</t>
  </si>
  <si>
    <t>Azizi</t>
  </si>
  <si>
    <t>Hamza</t>
  </si>
  <si>
    <t>AB00026</t>
  </si>
  <si>
    <t>Raiss</t>
  </si>
  <si>
    <t>Nour</t>
  </si>
  <si>
    <t>AB00027</t>
  </si>
  <si>
    <t>Fadili</t>
  </si>
  <si>
    <t>Abdelkader</t>
  </si>
  <si>
    <t>AB00028</t>
  </si>
  <si>
    <t>Kouhen</t>
  </si>
  <si>
    <t>Lina</t>
  </si>
  <si>
    <t>AB00029</t>
  </si>
  <si>
    <t>Smires</t>
  </si>
  <si>
    <t>Younes</t>
  </si>
  <si>
    <t>AB00030</t>
  </si>
  <si>
    <t>Bounou</t>
  </si>
  <si>
    <t>Ikram</t>
  </si>
  <si>
    <t>AB00031</t>
  </si>
  <si>
    <t>El Hachimi</t>
  </si>
  <si>
    <t>Said</t>
  </si>
  <si>
    <t>AB00032</t>
  </si>
  <si>
    <t>Zayani</t>
  </si>
  <si>
    <t>Rania</t>
  </si>
  <si>
    <t>AB00033</t>
  </si>
  <si>
    <t>Belaid</t>
  </si>
  <si>
    <t>Yassir</t>
  </si>
  <si>
    <t>AB00034</t>
  </si>
  <si>
    <t>Ouhmid</t>
  </si>
  <si>
    <t>Malika</t>
  </si>
  <si>
    <t>AB00035</t>
  </si>
  <si>
    <t>Hami</t>
  </si>
  <si>
    <t>Reda</t>
  </si>
  <si>
    <t>AB00036</t>
  </si>
  <si>
    <t>El Mouden</t>
  </si>
  <si>
    <t>Jamal</t>
  </si>
  <si>
    <t>AB00037</t>
  </si>
  <si>
    <t>Karrouchi</t>
  </si>
  <si>
    <t>Ilham</t>
  </si>
  <si>
    <t>AB00038</t>
  </si>
  <si>
    <t>Benchekroun</t>
  </si>
  <si>
    <t>Adil</t>
  </si>
  <si>
    <t>AB00039</t>
  </si>
  <si>
    <t>Ait Brahim</t>
  </si>
  <si>
    <t>Naima</t>
  </si>
  <si>
    <t>AB00040</t>
  </si>
  <si>
    <t>Nb Contrat</t>
  </si>
  <si>
    <t>NB Véhicules</t>
  </si>
  <si>
    <t>Total primes ouarzazat</t>
  </si>
  <si>
    <t>Total primes Camoin</t>
  </si>
  <si>
    <t>Classeur</t>
  </si>
  <si>
    <t>Total des primes par Type_Assurance</t>
  </si>
  <si>
    <t>Somme de Prime_Totale</t>
  </si>
  <si>
    <t>Nombre de contrats par Ville</t>
  </si>
  <si>
    <t>Somme de ID_Client</t>
  </si>
  <si>
    <t>Prime moyenne par Type_Vehicule</t>
  </si>
  <si>
    <t>Moyenne de Prime_Totale</t>
  </si>
  <si>
    <t>Répartition des clients par Statut</t>
  </si>
  <si>
    <t>Premiun</t>
  </si>
  <si>
    <t>VIP</t>
  </si>
  <si>
    <t>Étiquettes de lignes</t>
  </si>
  <si>
    <t>Total général</t>
  </si>
  <si>
    <t xml:space="preserve">Total des primes par Mois </t>
  </si>
  <si>
    <t>janv</t>
  </si>
  <si>
    <t>Top 5 clients par Prime_Totale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</si>
</sst>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9" fontId="0" fillId="0" borderId="1" xfId="1" applyFont="1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2" borderId="1" xfId="0" applyFill="1" applyBorder="1"/>
    <xf numFmtId="0" fontId="0" fillId="0" borderId="1" xfId="0" pivotButton="1" applyBorder="1"/>
    <xf numFmtId="0" fontId="0" fillId="0" borderId="1" xfId="0" applyNumberFormat="1" applyBorder="1"/>
    <xf numFmtId="0" fontId="0" fillId="3" borderId="1" xfId="0" applyFill="1" applyBorder="1"/>
    <xf numFmtId="0" fontId="0" fillId="3" borderId="1" xfId="0" applyNumberFormat="1" applyFill="1" applyBorder="1"/>
    <xf numFmtId="0" fontId="0" fillId="2" borderId="1" xfId="0" applyNumberFormat="1" applyFill="1" applyBorder="1"/>
    <xf numFmtId="164" fontId="0" fillId="3" borderId="1" xfId="0" applyNumberFormat="1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4" borderId="1" xfId="0" applyNumberFormat="1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0" xfId="0" applyFill="1"/>
    <xf numFmtId="44" fontId="1" fillId="2" borderId="1" xfId="0" applyNumberFormat="1" applyFont="1" applyFill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0" xfId="0" applyNumberForma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5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9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[Assurances_Auto_Donnees.xlsx]Partie_||!Tableau croisé dynamique9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2"/>
                </a:solidFill>
                <a:latin typeface="Arial Black" panose="020B0A04020102020204" pitchFamily="34" charset="0"/>
              </a:rPr>
              <a:t>Total des Primes par type Assurance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553983718136928"/>
          <c:y val="0.16087822743087346"/>
          <c:w val="0.64644160104986881"/>
          <c:h val="0.7085958005249344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'Partie_||'!$B$2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8A0-4E2C-9F9B-C4C5CD32DA4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D8A0-4E2C-9F9B-C4C5CD32DA43}"/>
              </c:ext>
            </c:extLst>
          </c:dPt>
          <c:cat>
            <c:strRef>
              <c:f>'Partie_||'!$A$3:$A$6</c:f>
              <c:strCache>
                <c:ptCount val="3"/>
                <c:pt idx="0">
                  <c:v>Tiers</c:v>
                </c:pt>
                <c:pt idx="1">
                  <c:v>Tiers+</c:v>
                </c:pt>
                <c:pt idx="2">
                  <c:v>Tous Risques</c:v>
                </c:pt>
              </c:strCache>
            </c:strRef>
          </c:cat>
          <c:val>
            <c:numRef>
              <c:f>'Partie_||'!$B$3:$B$6</c:f>
              <c:numCache>
                <c:formatCode>General</c:formatCode>
                <c:ptCount val="3"/>
                <c:pt idx="0">
                  <c:v>95550</c:v>
                </c:pt>
                <c:pt idx="1">
                  <c:v>144270</c:v>
                </c:pt>
                <c:pt idx="2">
                  <c:v>152100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5-4E99-BD58-447CEE99B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2420728"/>
        <c:axId val="732413184"/>
        <c:axId val="0"/>
      </c:bar3DChart>
      <c:catAx>
        <c:axId val="732420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2413184"/>
        <c:crosses val="autoZero"/>
        <c:auto val="1"/>
        <c:lblAlgn val="ctr"/>
        <c:lblOffset val="100"/>
        <c:noMultiLvlLbl val="0"/>
      </c:catAx>
      <c:valAx>
        <c:axId val="73241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2420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[Assurances_Auto_Donnees.xlsx]Partie_||!Tableau croisé dynamique10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accent2">
                    <a:lumMod val="75000"/>
                  </a:schemeClr>
                </a:solidFill>
                <a:latin typeface="Arial Black" panose="020B0A04020102020204" pitchFamily="34" charset="0"/>
              </a:rPr>
              <a:t>Nom de contrat</a:t>
            </a:r>
            <a:r>
              <a:rPr lang="en-US" sz="1400" b="1" baseline="0">
                <a:solidFill>
                  <a:schemeClr val="accent2">
                    <a:lumMod val="75000"/>
                  </a:schemeClr>
                </a:solidFill>
                <a:latin typeface="Arial Black" panose="020B0A04020102020204" pitchFamily="34" charset="0"/>
              </a:rPr>
              <a:t> par ville </a:t>
            </a:r>
            <a:endParaRPr lang="en-US" sz="1400" b="1">
              <a:solidFill>
                <a:schemeClr val="accent2">
                  <a:lumMod val="75000"/>
                </a:schemeClr>
              </a:solidFill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'Partie_||'!$B$9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639-4EC4-AA58-67137033E88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39-4EC4-AA58-67137033E8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639-4EC4-AA58-67137033E88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39-4EC4-AA58-67137033E88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39-4EC4-AA58-67137033E88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639-4EC4-AA58-67137033E88E}"/>
              </c:ext>
            </c:extLst>
          </c:dPt>
          <c:cat>
            <c:strRef>
              <c:f>'Partie_||'!$A$10:$A$16</c:f>
              <c:strCache>
                <c:ptCount val="6"/>
                <c:pt idx="0">
                  <c:v>Agadir</c:v>
                </c:pt>
                <c:pt idx="1">
                  <c:v>Casablanca</c:v>
                </c:pt>
                <c:pt idx="2">
                  <c:v>Fes</c:v>
                </c:pt>
                <c:pt idx="3">
                  <c:v>Marrakech</c:v>
                </c:pt>
                <c:pt idx="4">
                  <c:v>Ouarzazate</c:v>
                </c:pt>
                <c:pt idx="5">
                  <c:v>Rabat</c:v>
                </c:pt>
              </c:strCache>
            </c:strRef>
          </c:cat>
          <c:val>
            <c:numRef>
              <c:f>'Partie_||'!$B$10:$B$16</c:f>
              <c:numCache>
                <c:formatCode>General</c:formatCode>
                <c:ptCount val="6"/>
                <c:pt idx="0">
                  <c:v>166</c:v>
                </c:pt>
                <c:pt idx="1">
                  <c:v>179</c:v>
                </c:pt>
                <c:pt idx="2">
                  <c:v>8</c:v>
                </c:pt>
                <c:pt idx="3">
                  <c:v>158</c:v>
                </c:pt>
                <c:pt idx="4">
                  <c:v>135</c:v>
                </c:pt>
                <c:pt idx="5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F-4628-ADB6-35E88E563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043760"/>
        <c:axId val="734052616"/>
      </c:barChart>
      <c:catAx>
        <c:axId val="73404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4052616"/>
        <c:crosses val="autoZero"/>
        <c:auto val="1"/>
        <c:lblAlgn val="ctr"/>
        <c:lblOffset val="100"/>
        <c:noMultiLvlLbl val="0"/>
      </c:catAx>
      <c:valAx>
        <c:axId val="73405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404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[Assurances_Auto_Donnees.xlsx]Partie_||!Tableau croisé dynamique11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3">
                    <a:lumMod val="50000"/>
                  </a:schemeClr>
                </a:solidFill>
                <a:latin typeface="Arial Black" panose="020B0A04020102020204" pitchFamily="34" charset="0"/>
              </a:rPr>
              <a:t>Prime moyenne par Type_Vehicule</a:t>
            </a:r>
          </a:p>
        </c:rich>
      </c:tx>
      <c:layout>
        <c:manualLayout>
          <c:xMode val="edge"/>
          <c:yMode val="edge"/>
          <c:x val="0.29337775712818509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280979330708664"/>
          <c:y val="0.32171296296296292"/>
          <c:w val="0.65716929133858282"/>
          <c:h val="0.5133413531641878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'Partie_||'!$B$19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F2-492C-9E98-876B9AFAF2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0F2-492C-9E98-876B9AFAF29A}"/>
              </c:ext>
            </c:extLst>
          </c:dPt>
          <c:cat>
            <c:strRef>
              <c:f>'Partie_||'!$A$20:$A$23</c:f>
              <c:strCache>
                <c:ptCount val="3"/>
                <c:pt idx="0">
                  <c:v>Camion</c:v>
                </c:pt>
                <c:pt idx="1">
                  <c:v>Moto</c:v>
                </c:pt>
                <c:pt idx="2">
                  <c:v>Voiture</c:v>
                </c:pt>
              </c:strCache>
            </c:strRef>
          </c:cat>
          <c:val>
            <c:numRef>
              <c:f>'Partie_||'!$B$20:$B$23</c:f>
              <c:numCache>
                <c:formatCode>General</c:formatCode>
                <c:ptCount val="3"/>
                <c:pt idx="0">
                  <c:v>11700</c:v>
                </c:pt>
                <c:pt idx="1">
                  <c:v>10305</c:v>
                </c:pt>
                <c:pt idx="2">
                  <c:v>7350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D-4B38-838B-F7657A736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5874240"/>
        <c:axId val="735875224"/>
      </c:barChart>
      <c:catAx>
        <c:axId val="73587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i="1">
                    <a:solidFill>
                      <a:schemeClr val="accent3">
                        <a:lumMod val="75000"/>
                      </a:schemeClr>
                    </a:solidFill>
                  </a:rPr>
                  <a:t>type véhicule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5875224"/>
        <c:crosses val="autoZero"/>
        <c:auto val="1"/>
        <c:lblAlgn val="ctr"/>
        <c:lblOffset val="100"/>
        <c:noMultiLvlLbl val="0"/>
      </c:catAx>
      <c:valAx>
        <c:axId val="73587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i="1">
                    <a:solidFill>
                      <a:schemeClr val="accent3">
                        <a:lumMod val="75000"/>
                      </a:schemeClr>
                    </a:solidFill>
                  </a:rPr>
                  <a:t>prime_total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587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[Assurances_Auto_Donnees.xlsx]Partie_||!Tableau croisé dynamique12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>
                <a:solidFill>
                  <a:schemeClr val="accent2">
                    <a:lumMod val="50000"/>
                  </a:schemeClr>
                </a:solidFill>
                <a:latin typeface="Agency FB" panose="020B0503020202020204" pitchFamily="34" charset="0"/>
              </a:rPr>
              <a:t>Réparation</a:t>
            </a:r>
            <a:r>
              <a:rPr lang="en-US" sz="2000" b="1" i="1" baseline="0">
                <a:solidFill>
                  <a:schemeClr val="accent2">
                    <a:lumMod val="50000"/>
                  </a:schemeClr>
                </a:solidFill>
                <a:latin typeface="Agency FB" panose="020B0503020202020204" pitchFamily="34" charset="0"/>
              </a:rPr>
              <a:t> des clients par status</a:t>
            </a:r>
            <a:endParaRPr lang="en-US" sz="2000" b="1" i="1">
              <a:solidFill>
                <a:schemeClr val="accent2">
                  <a:lumMod val="50000"/>
                </a:schemeClr>
              </a:solidFill>
              <a:latin typeface="Agency FB" panose="020B0503020202020204" pitchFamily="34" charset="0"/>
            </a:endParaRPr>
          </a:p>
        </c:rich>
      </c:tx>
      <c:layout>
        <c:manualLayout>
          <c:xMode val="edge"/>
          <c:yMode val="edge"/>
          <c:x val="0.1521526684164479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944453288595536"/>
          <c:y val="0.2127085156022164"/>
          <c:w val="0.71146784776902883"/>
          <c:h val="0.67155074365704281"/>
        </c:manualLayout>
      </c:layout>
      <c:ofPieChart>
        <c:ofPieType val="pie"/>
        <c:varyColors val="1"/>
        <c:ser>
          <c:idx val="0"/>
          <c:order val="0"/>
          <c:tx>
            <c:strRef>
              <c:f>'Partie_||'!$B$26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AF-4DA2-894A-2EE852E4E8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AF-4DA2-894A-2EE852E4E8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AF-4DA2-894A-2EE852E4E876}"/>
              </c:ext>
            </c:extLst>
          </c:dPt>
          <c:cat>
            <c:strRef>
              <c:f>'Partie_||'!$A$27:$A$29</c:f>
              <c:strCache>
                <c:ptCount val="2"/>
                <c:pt idx="0">
                  <c:v>Premiun</c:v>
                </c:pt>
                <c:pt idx="1">
                  <c:v>VIP</c:v>
                </c:pt>
              </c:strCache>
            </c:strRef>
          </c:cat>
          <c:val>
            <c:numRef>
              <c:f>'Partie_||'!$B$27:$B$29</c:f>
              <c:numCache>
                <c:formatCode>General</c:formatCode>
                <c:ptCount val="2"/>
                <c:pt idx="0">
                  <c:v>3</c:v>
                </c:pt>
                <c:pt idx="1">
                  <c:v>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AF-4DA2-894A-2EE852E4E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757895888014001"/>
          <c:y val="0.77591389617964424"/>
          <c:w val="0.13785757295044002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[Assurances_Auto_Donnees.xlsx]Partie_||!Tableau croisé dynamique13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2">
                    <a:lumMod val="60000"/>
                    <a:lumOff val="40000"/>
                  </a:schemeClr>
                </a:solidFill>
                <a:latin typeface="Agency FB" panose="020B0503020202020204" pitchFamily="34" charset="0"/>
              </a:rPr>
              <a:t>Total des </a:t>
            </a:r>
            <a:r>
              <a:rPr lang="en-US" sz="1600" b="1" i="1">
                <a:solidFill>
                  <a:schemeClr val="tx2">
                    <a:lumMod val="60000"/>
                    <a:lumOff val="40000"/>
                  </a:schemeClr>
                </a:solidFill>
                <a:latin typeface="Agency FB" panose="020B0503020202020204" pitchFamily="34" charset="0"/>
              </a:rPr>
              <a:t>primes</a:t>
            </a:r>
            <a:r>
              <a:rPr lang="en-US" sz="1600" b="1">
                <a:solidFill>
                  <a:schemeClr val="tx2">
                    <a:lumMod val="60000"/>
                    <a:lumOff val="40000"/>
                  </a:schemeClr>
                </a:solidFill>
                <a:latin typeface="Agency FB" panose="020B0503020202020204" pitchFamily="34" charset="0"/>
              </a:rPr>
              <a:t>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'Partie_||'!$B$32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'Partie_||'!$A$33:$A$34</c:f>
              <c:strCache>
                <c:ptCount val="1"/>
                <c:pt idx="0">
                  <c:v>janv</c:v>
                </c:pt>
              </c:strCache>
            </c:strRef>
          </c:cat>
          <c:val>
            <c:numRef>
              <c:f>'Partie_||'!$B$33:$B$34</c:f>
              <c:numCache>
                <c:formatCode>General</c:formatCode>
                <c:ptCount val="1"/>
                <c:pt idx="0">
                  <c:v>391920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D-42DC-B5B3-A5133E559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5881784"/>
        <c:axId val="735885720"/>
      </c:barChart>
      <c:catAx>
        <c:axId val="735881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5885720"/>
        <c:crosses val="autoZero"/>
        <c:auto val="1"/>
        <c:lblAlgn val="ctr"/>
        <c:lblOffset val="100"/>
        <c:noMultiLvlLbl val="0"/>
      </c:catAx>
      <c:valAx>
        <c:axId val="735885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588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[Assurances_Auto_Donnees.xlsx]Partie_||!Tableau croisé dynamique14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accent2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accent2"/>
                </a:solidFill>
              </a:rPr>
              <a:t>Top 5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accent2"/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3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'Partie_||'!$B$39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F7-4A1D-808D-8FB126E569D5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F7-4A1D-808D-8FB126E569D5}"/>
              </c:ext>
            </c:extLst>
          </c:dPt>
          <c:dPt>
            <c:idx val="2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F7-4A1D-808D-8FB126E569D5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F7-4A1D-808D-8FB126E569D5}"/>
              </c:ext>
            </c:extLst>
          </c:dPt>
          <c:dPt>
            <c:idx val="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F7-4A1D-808D-8FB126E569D5}"/>
              </c:ext>
            </c:extLst>
          </c:dPt>
          <c:cat>
            <c:strRef>
              <c:f>'Partie_||'!$A$40:$A$45</c:f>
              <c:strCache>
                <c:ptCount val="5"/>
                <c:pt idx="0">
                  <c:v>Karrouchi</c:v>
                </c:pt>
                <c:pt idx="1">
                  <c:v>Ouhmid</c:v>
                </c:pt>
                <c:pt idx="2">
                  <c:v>El Hachimi</c:v>
                </c:pt>
                <c:pt idx="3">
                  <c:v>Ait Brahim</c:v>
                </c:pt>
                <c:pt idx="4">
                  <c:v>Kouhen</c:v>
                </c:pt>
              </c:strCache>
            </c:strRef>
          </c:cat>
          <c:val>
            <c:numRef>
              <c:f>'Partie_||'!$B$40:$B$45</c:f>
              <c:numCache>
                <c:formatCode>General</c:formatCode>
                <c:ptCount val="5"/>
                <c:pt idx="0">
                  <c:v>16020</c:v>
                </c:pt>
                <c:pt idx="1">
                  <c:v>15300</c:v>
                </c:pt>
                <c:pt idx="2">
                  <c:v>14580</c:v>
                </c:pt>
                <c:pt idx="3">
                  <c:v>14400</c:v>
                </c:pt>
                <c:pt idx="4">
                  <c:v>13860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F7-4A1D-808D-8FB126E5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38100</xdr:rowOff>
    </xdr:from>
    <xdr:to>
      <xdr:col>5</xdr:col>
      <xdr:colOff>311150</xdr:colOff>
      <xdr:row>17</xdr:row>
      <xdr:rowOff>6350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E141B88-AEEB-47BA-AE26-6F1182E5C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292100</xdr:colOff>
      <xdr:row>2</xdr:row>
      <xdr:rowOff>76200</xdr:rowOff>
    </xdr:from>
    <xdr:to>
      <xdr:col>10</xdr:col>
      <xdr:colOff>590550</xdr:colOff>
      <xdr:row>17</xdr:row>
      <xdr:rowOff>25400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0324C51-3DEF-4998-8480-C9FAF357D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501650</xdr:colOff>
      <xdr:row>2</xdr:row>
      <xdr:rowOff>69850</xdr:rowOff>
    </xdr:from>
    <xdr:to>
      <xdr:col>16</xdr:col>
      <xdr:colOff>19050</xdr:colOff>
      <xdr:row>16</xdr:row>
      <xdr:rowOff>165100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187E2C8-C04E-4E78-8C9A-E772E8F6E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</xdr:colOff>
      <xdr:row>17</xdr:row>
      <xdr:rowOff>19050</xdr:rowOff>
    </xdr:from>
    <xdr:to>
      <xdr:col>5</xdr:col>
      <xdr:colOff>279400</xdr:colOff>
      <xdr:row>29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E62D38C-FAA8-47B5-A4A1-B07344B5E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260350</xdr:colOff>
      <xdr:row>17</xdr:row>
      <xdr:rowOff>12700</xdr:rowOff>
    </xdr:from>
    <xdr:to>
      <xdr:col>9</xdr:col>
      <xdr:colOff>476250</xdr:colOff>
      <xdr:row>28</xdr:row>
      <xdr:rowOff>165100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7558CCE-9BB1-4E3B-BFC1-59D5CE914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495300</xdr:colOff>
      <xdr:row>17</xdr:row>
      <xdr:rowOff>0</xdr:rowOff>
    </xdr:from>
    <xdr:to>
      <xdr:col>15</xdr:col>
      <xdr:colOff>736600</xdr:colOff>
      <xdr:row>28</xdr:row>
      <xdr:rowOff>146050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0E73E29-21FC-481A-B211-4E878C27E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114300</xdr:colOff>
      <xdr:row>2</xdr:row>
      <xdr:rowOff>50800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1D3A7B9D-D0D4-4C77-AD6D-636F2955A195}"/>
            </a:ext>
          </a:extLst>
        </xdr:cNvPr>
        <xdr:cNvSpPr/>
      </xdr:nvSpPr>
      <xdr:spPr>
        <a:xfrm>
          <a:off x="0" y="0"/>
          <a:ext cx="12306300" cy="679450"/>
        </a:xfrm>
        <a:prstGeom prst="roundRect">
          <a:avLst>
            <a:gd name="adj" fmla="val 32883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7" algn="l"/>
          <a:r>
            <a:rPr lang="fr-FR" sz="1800" b="1">
              <a:solidFill>
                <a:srgbClr val="33CCCC"/>
              </a:solidFill>
              <a:latin typeface="Arial Rounded MT Bold" panose="020F0704030504030204" pitchFamily="34" charset="0"/>
            </a:rPr>
            <a:t>Dashbord une agence d’assurance automobile au Maroc</a:t>
          </a:r>
        </a:p>
      </xdr:txBody>
    </xdr:sp>
    <xdr:clientData/>
  </xdr:twoCellAnchor>
  <xdr:twoCellAnchor>
    <xdr:from>
      <xdr:col>1</xdr:col>
      <xdr:colOff>666750</xdr:colOff>
      <xdr:row>0</xdr:row>
      <xdr:rowOff>69850</xdr:rowOff>
    </xdr:from>
    <xdr:to>
      <xdr:col>2</xdr:col>
      <xdr:colOff>749300</xdr:colOff>
      <xdr:row>1</xdr:row>
      <xdr:rowOff>254000</xdr:rowOff>
    </xdr:to>
    <xdr:sp macro="" textlink="">
      <xdr:nvSpPr>
        <xdr:cNvPr id="12" name="Ellipse 11">
          <a:extLst>
            <a:ext uri="{FF2B5EF4-FFF2-40B4-BE49-F238E27FC236}">
              <a16:creationId xmlns:a16="http://schemas.microsoft.com/office/drawing/2014/main" id="{77ED522F-91F1-4146-94E1-841D9434768F}"/>
            </a:ext>
          </a:extLst>
        </xdr:cNvPr>
        <xdr:cNvSpPr/>
      </xdr:nvSpPr>
      <xdr:spPr>
        <a:xfrm>
          <a:off x="1428750" y="69850"/>
          <a:ext cx="844550" cy="539750"/>
        </a:xfrm>
        <a:prstGeom prst="ellipse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dija el ghoul" refreshedDate="46021.44784872685" createdVersion="7" refreshedVersion="7" minRefreshableVersion="3" recordCount="40" xr:uid="{BEBD04E2-45D7-407C-A8D0-94EABA03CBAA}">
  <cacheSource type="worksheet">
    <worksheetSource name="assurance"/>
  </cacheSource>
  <cacheFields count="17">
    <cacheField name="ID_Client" numFmtId="0">
      <sharedItems containsSemiMixedTypes="0" containsString="0" containsNumber="1" containsInteger="1" minValue="1" maxValue="40"/>
    </cacheField>
    <cacheField name="Nom" numFmtId="0">
      <sharedItems count="40">
        <s v="El Amrani"/>
        <s v="Ait Lahcen"/>
        <s v="Benali"/>
        <s v="El Idrissi"/>
        <s v="Chraibi"/>
        <s v="Tahiri"/>
        <s v="Bennani"/>
        <s v="El Fassi"/>
        <s v="Alaoui"/>
        <s v="Zerouali"/>
        <s v="Skalli"/>
        <s v="Raji"/>
        <s v="Ouahbi"/>
        <s v="Amine"/>
        <s v="Mouline"/>
        <s v="Lahlou"/>
        <s v="Kabbaj"/>
        <s v="Bouzidi"/>
        <s v="El Mansouri"/>
        <s v="Haddad"/>
        <s v="Berrada"/>
        <s v="Sbaai"/>
        <s v="Ghazali"/>
        <s v="Benkirane"/>
        <s v="El Khatib"/>
        <s v="Azizi"/>
        <s v="Raiss"/>
        <s v="Fadili"/>
        <s v="Kouhen"/>
        <s v="Smires"/>
        <s v="Bounou"/>
        <s v="El Hachimi"/>
        <s v="Zayani"/>
        <s v="Belaid"/>
        <s v="Ouhmid"/>
        <s v="Hami"/>
        <s v="El Mouden"/>
        <s v="Karrouchi"/>
        <s v="Benchekroun"/>
        <s v="Ait Brahim"/>
      </sharedItems>
    </cacheField>
    <cacheField name="Prénom" numFmtId="0">
      <sharedItems/>
    </cacheField>
    <cacheField name="CIN" numFmtId="0">
      <sharedItems/>
    </cacheField>
    <cacheField name="Ville" numFmtId="0">
      <sharedItems count="6">
        <s v="Ouarzazate"/>
        <s v="Marrakech"/>
        <s v="Rabat"/>
        <s v="Casablanca"/>
        <s v="Agadir"/>
        <s v="Fes"/>
      </sharedItems>
    </cacheField>
    <cacheField name="Type_Vehicule" numFmtId="0">
      <sharedItems count="3">
        <s v="Moto"/>
        <s v="Camion"/>
        <s v="Voiture"/>
      </sharedItems>
    </cacheField>
    <cacheField name="Marque" numFmtId="0">
      <sharedItems/>
    </cacheField>
    <cacheField name="Année_Vehicule" numFmtId="0">
      <sharedItems containsSemiMixedTypes="0" containsString="0" containsNumber="1" containsInteger="1" minValue="2010" maxValue="2023"/>
    </cacheField>
    <cacheField name="Valeur_Vehicule" numFmtId="0">
      <sharedItems containsSemiMixedTypes="0" containsString="0" containsNumber="1" containsInteger="1" minValue="93000" maxValue="210000"/>
    </cacheField>
    <cacheField name="Type_Assurance" numFmtId="0">
      <sharedItems count="3">
        <s v="Tiers+"/>
        <s v="Tous Risques"/>
        <s v="Tiers"/>
      </sharedItems>
    </cacheField>
    <cacheField name="Date_Souscription" numFmtId="164">
      <sharedItems containsSemiMixedTypes="0" containsNonDate="0" containsDate="1" containsString="0" minDate="2025-01-01T00:00:00" maxDate="2025-01-29T00:00:00" count="28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01T00:00:00"/>
      </sharedItems>
      <fieldGroup base="10">
        <rangePr groupBy="months" startDate="2025-01-01T00:00:00" endDate="2025-01-29T00:00:00"/>
        <groupItems count="14">
          <s v="&lt;01/01/202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9/01/2025"/>
        </groupItems>
      </fieldGroup>
    </cacheField>
    <cacheField name="Durée" numFmtId="0">
      <sharedItems containsSemiMixedTypes="0" containsString="0" containsNumber="1" containsInteger="1" minValue="12" maxValue="12"/>
    </cacheField>
    <cacheField name="Prime_Base" numFmtId="0">
      <sharedItems containsSemiMixedTypes="0" containsString="0" containsNumber="1" containsInteger="1" minValue="1560" maxValue="3900"/>
    </cacheField>
    <cacheField name="Taux_Risque" numFmtId="9">
      <sharedItems containsSemiMixedTypes="0" containsString="0" containsNumber="1" minValue="0.03" maxValue="0.06"/>
    </cacheField>
    <cacheField name="Montant_Risque" numFmtId="0">
      <sharedItems containsSemiMixedTypes="0" containsString="0" containsNumber="1" containsInteger="1" minValue="2970" maxValue="12240"/>
    </cacheField>
    <cacheField name="Prime_Totale" numFmtId="0">
      <sharedItems containsSemiMixedTypes="0" containsString="0" containsNumber="1" containsInteger="1" minValue="4650" maxValue="16020"/>
    </cacheField>
    <cacheField name="Statut_Client" numFmtId="0">
      <sharedItems count="2">
        <s v="VIP"/>
        <s v="Premiu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s v="Youssef"/>
    <s v="AB00001"/>
    <x v="0"/>
    <x v="0"/>
    <s v="Renault"/>
    <n v="2011"/>
    <n v="93000"/>
    <x v="0"/>
    <x v="0"/>
    <n v="12"/>
    <n v="1560"/>
    <n v="0.05"/>
    <n v="4650"/>
    <n v="6210"/>
    <x v="0"/>
  </r>
  <r>
    <n v="2"/>
    <x v="1"/>
    <s v="Fatima"/>
    <s v="AB00002"/>
    <x v="0"/>
    <x v="1"/>
    <s v="Toyota"/>
    <n v="2012"/>
    <n v="96000"/>
    <x v="1"/>
    <x v="1"/>
    <n v="12"/>
    <n v="1620"/>
    <n v="0.06"/>
    <n v="5760"/>
    <n v="7380"/>
    <x v="0"/>
  </r>
  <r>
    <n v="3"/>
    <x v="2"/>
    <s v="Ahmed"/>
    <s v="AB00003"/>
    <x v="1"/>
    <x v="2"/>
    <s v="Hyundai"/>
    <n v="2013"/>
    <n v="99000"/>
    <x v="2"/>
    <x v="2"/>
    <n v="12"/>
    <n v="1680"/>
    <n v="0.03"/>
    <n v="2970"/>
    <n v="4650"/>
    <x v="1"/>
  </r>
  <r>
    <n v="4"/>
    <x v="3"/>
    <s v="Salma"/>
    <s v="AB00004"/>
    <x v="2"/>
    <x v="0"/>
    <s v="Ford"/>
    <n v="2014"/>
    <n v="102000"/>
    <x v="0"/>
    <x v="3"/>
    <n v="12"/>
    <n v="1740"/>
    <n v="0.05"/>
    <n v="5100"/>
    <n v="6840"/>
    <x v="0"/>
  </r>
  <r>
    <n v="5"/>
    <x v="4"/>
    <s v="Mohamed"/>
    <s v="AB00005"/>
    <x v="3"/>
    <x v="1"/>
    <s v="Peugeot"/>
    <n v="2015"/>
    <n v="105000"/>
    <x v="1"/>
    <x v="4"/>
    <n v="12"/>
    <n v="1800"/>
    <n v="0.06"/>
    <n v="6300"/>
    <n v="8100"/>
    <x v="0"/>
  </r>
  <r>
    <n v="6"/>
    <x v="5"/>
    <s v="Khadija"/>
    <s v="AB00006"/>
    <x v="4"/>
    <x v="2"/>
    <s v="Dacia"/>
    <n v="2016"/>
    <n v="108000"/>
    <x v="2"/>
    <x v="5"/>
    <n v="12"/>
    <n v="1860"/>
    <n v="0.03"/>
    <n v="3240"/>
    <n v="5100"/>
    <x v="0"/>
  </r>
  <r>
    <n v="7"/>
    <x v="6"/>
    <s v="Omar"/>
    <s v="AB00007"/>
    <x v="1"/>
    <x v="0"/>
    <s v="Renault"/>
    <n v="2017"/>
    <n v="111000"/>
    <x v="0"/>
    <x v="6"/>
    <n v="12"/>
    <n v="1920"/>
    <n v="0.05"/>
    <n v="5550"/>
    <n v="7470"/>
    <x v="0"/>
  </r>
  <r>
    <n v="8"/>
    <x v="7"/>
    <s v="Imane"/>
    <s v="AB00008"/>
    <x v="5"/>
    <x v="1"/>
    <s v="Toyota"/>
    <n v="2018"/>
    <n v="114000"/>
    <x v="1"/>
    <x v="7"/>
    <n v="12"/>
    <n v="1980"/>
    <n v="0.06"/>
    <n v="6840"/>
    <n v="8820"/>
    <x v="0"/>
  </r>
  <r>
    <n v="9"/>
    <x v="8"/>
    <s v="Hassan"/>
    <s v="AB00009"/>
    <x v="2"/>
    <x v="2"/>
    <s v="Hyundai"/>
    <n v="2019"/>
    <n v="117000"/>
    <x v="2"/>
    <x v="8"/>
    <n v="12"/>
    <n v="2040"/>
    <n v="0.03"/>
    <n v="3510"/>
    <n v="5550"/>
    <x v="0"/>
  </r>
  <r>
    <n v="10"/>
    <x v="9"/>
    <s v="Nadia"/>
    <s v="AB00010"/>
    <x v="4"/>
    <x v="0"/>
    <s v="Ford"/>
    <n v="2020"/>
    <n v="120000"/>
    <x v="0"/>
    <x v="9"/>
    <n v="12"/>
    <n v="2100"/>
    <n v="0.05"/>
    <n v="6000"/>
    <n v="8100"/>
    <x v="0"/>
  </r>
  <r>
    <n v="11"/>
    <x v="10"/>
    <s v="Abdelilah"/>
    <s v="AB00011"/>
    <x v="3"/>
    <x v="1"/>
    <s v="Peugeot"/>
    <n v="2021"/>
    <n v="123000"/>
    <x v="1"/>
    <x v="10"/>
    <n v="12"/>
    <n v="2160"/>
    <n v="0.06"/>
    <n v="7380"/>
    <n v="9540"/>
    <x v="0"/>
  </r>
  <r>
    <n v="12"/>
    <x v="11"/>
    <s v="Siham"/>
    <s v="AB00012"/>
    <x v="1"/>
    <x v="2"/>
    <s v="Dacia"/>
    <n v="2022"/>
    <n v="126000"/>
    <x v="2"/>
    <x v="11"/>
    <n v="12"/>
    <n v="2220"/>
    <n v="0.03"/>
    <n v="3780"/>
    <n v="6000"/>
    <x v="0"/>
  </r>
  <r>
    <n v="13"/>
    <x v="12"/>
    <s v="Anas"/>
    <s v="AB00013"/>
    <x v="0"/>
    <x v="0"/>
    <s v="Renault"/>
    <n v="2023"/>
    <n v="129000"/>
    <x v="0"/>
    <x v="12"/>
    <n v="12"/>
    <n v="2280"/>
    <n v="0.05"/>
    <n v="6450"/>
    <n v="8730"/>
    <x v="0"/>
  </r>
  <r>
    <n v="14"/>
    <x v="13"/>
    <s v="Soukaina"/>
    <s v="AB00014"/>
    <x v="4"/>
    <x v="1"/>
    <s v="Toyota"/>
    <n v="2010"/>
    <n v="132000"/>
    <x v="1"/>
    <x v="13"/>
    <n v="12"/>
    <n v="2340"/>
    <n v="0.06"/>
    <n v="7920"/>
    <n v="10260"/>
    <x v="0"/>
  </r>
  <r>
    <n v="15"/>
    <x v="14"/>
    <s v="Rachid"/>
    <s v="AB00015"/>
    <x v="3"/>
    <x v="2"/>
    <s v="Hyundai"/>
    <n v="2011"/>
    <n v="135000"/>
    <x v="2"/>
    <x v="14"/>
    <n v="12"/>
    <n v="2400"/>
    <n v="0.03"/>
    <n v="4050"/>
    <n v="6450"/>
    <x v="0"/>
  </r>
  <r>
    <n v="16"/>
    <x v="15"/>
    <s v="Sara"/>
    <s v="AB00016"/>
    <x v="2"/>
    <x v="0"/>
    <s v="Ford"/>
    <n v="2012"/>
    <n v="138000"/>
    <x v="0"/>
    <x v="15"/>
    <n v="12"/>
    <n v="2460"/>
    <n v="0.05"/>
    <n v="6900"/>
    <n v="9360"/>
    <x v="0"/>
  </r>
  <r>
    <n v="17"/>
    <x v="16"/>
    <s v="Yassine"/>
    <s v="AB00017"/>
    <x v="1"/>
    <x v="1"/>
    <s v="Peugeot"/>
    <n v="2013"/>
    <n v="141000"/>
    <x v="1"/>
    <x v="16"/>
    <n v="12"/>
    <n v="2520"/>
    <n v="0.06"/>
    <n v="8460"/>
    <n v="10980"/>
    <x v="0"/>
  </r>
  <r>
    <n v="18"/>
    <x v="17"/>
    <s v="Amina"/>
    <s v="AB00018"/>
    <x v="0"/>
    <x v="2"/>
    <s v="Dacia"/>
    <n v="2014"/>
    <n v="144000"/>
    <x v="2"/>
    <x v="17"/>
    <n v="12"/>
    <n v="2580"/>
    <n v="0.03"/>
    <n v="4320"/>
    <n v="6900"/>
    <x v="0"/>
  </r>
  <r>
    <n v="19"/>
    <x v="18"/>
    <s v="Karim"/>
    <s v="AB00019"/>
    <x v="4"/>
    <x v="0"/>
    <s v="Renault"/>
    <n v="2015"/>
    <n v="147000"/>
    <x v="0"/>
    <x v="18"/>
    <n v="12"/>
    <n v="2640"/>
    <n v="0.05"/>
    <n v="7350"/>
    <n v="9990"/>
    <x v="0"/>
  </r>
  <r>
    <n v="20"/>
    <x v="19"/>
    <s v="Latifa"/>
    <s v="AB00020"/>
    <x v="3"/>
    <x v="1"/>
    <s v="Toyota"/>
    <n v="2016"/>
    <n v="150000"/>
    <x v="1"/>
    <x v="19"/>
    <n v="12"/>
    <n v="2700"/>
    <n v="0.06"/>
    <n v="9000"/>
    <n v="11700"/>
    <x v="0"/>
  </r>
  <r>
    <n v="21"/>
    <x v="20"/>
    <s v="Ayoub"/>
    <s v="AB00021"/>
    <x v="2"/>
    <x v="2"/>
    <s v="Hyundai"/>
    <n v="2017"/>
    <n v="153000"/>
    <x v="2"/>
    <x v="20"/>
    <n v="12"/>
    <n v="2760"/>
    <n v="0.03"/>
    <n v="4590"/>
    <n v="7350"/>
    <x v="0"/>
  </r>
  <r>
    <n v="22"/>
    <x v="21"/>
    <s v="Hanane"/>
    <s v="AB00022"/>
    <x v="1"/>
    <x v="0"/>
    <s v="Ford"/>
    <n v="2018"/>
    <n v="156000"/>
    <x v="0"/>
    <x v="21"/>
    <n v="12"/>
    <n v="2820"/>
    <n v="0.05"/>
    <n v="7800"/>
    <n v="10620"/>
    <x v="0"/>
  </r>
  <r>
    <n v="23"/>
    <x v="22"/>
    <s v="Mehdi"/>
    <s v="AB00023"/>
    <x v="4"/>
    <x v="1"/>
    <s v="Peugeot"/>
    <n v="2019"/>
    <n v="159000"/>
    <x v="1"/>
    <x v="22"/>
    <n v="12"/>
    <n v="2880"/>
    <n v="0.06"/>
    <n v="9540"/>
    <n v="12420"/>
    <x v="0"/>
  </r>
  <r>
    <n v="24"/>
    <x v="23"/>
    <s v="Samir"/>
    <s v="AB00024"/>
    <x v="2"/>
    <x v="2"/>
    <s v="Dacia"/>
    <n v="2020"/>
    <n v="162000"/>
    <x v="2"/>
    <x v="23"/>
    <n v="12"/>
    <n v="2940"/>
    <n v="0.03"/>
    <n v="4860"/>
    <n v="7800"/>
    <x v="0"/>
  </r>
  <r>
    <n v="25"/>
    <x v="24"/>
    <s v="Meriem"/>
    <s v="AB00025"/>
    <x v="3"/>
    <x v="0"/>
    <s v="Renault"/>
    <n v="2021"/>
    <n v="165000"/>
    <x v="0"/>
    <x v="24"/>
    <n v="12"/>
    <n v="3000"/>
    <n v="0.05"/>
    <n v="8250"/>
    <n v="11250"/>
    <x v="0"/>
  </r>
  <r>
    <n v="26"/>
    <x v="25"/>
    <s v="Hamza"/>
    <s v="AB00026"/>
    <x v="0"/>
    <x v="1"/>
    <s v="Toyota"/>
    <n v="2022"/>
    <n v="168000"/>
    <x v="1"/>
    <x v="25"/>
    <n v="12"/>
    <n v="3060"/>
    <n v="0.06"/>
    <n v="10080"/>
    <n v="13140"/>
    <x v="0"/>
  </r>
  <r>
    <n v="27"/>
    <x v="26"/>
    <s v="Nour"/>
    <s v="AB00027"/>
    <x v="4"/>
    <x v="2"/>
    <s v="Hyundai"/>
    <n v="2023"/>
    <n v="171000"/>
    <x v="2"/>
    <x v="26"/>
    <n v="12"/>
    <n v="3120"/>
    <n v="0.03"/>
    <n v="5130"/>
    <n v="8250"/>
    <x v="0"/>
  </r>
  <r>
    <n v="28"/>
    <x v="27"/>
    <s v="Abdelkader"/>
    <s v="AB00028"/>
    <x v="1"/>
    <x v="0"/>
    <s v="Ford"/>
    <n v="2010"/>
    <n v="174000"/>
    <x v="0"/>
    <x v="27"/>
    <n v="12"/>
    <n v="3180"/>
    <n v="0.05"/>
    <n v="8700"/>
    <n v="11880"/>
    <x v="0"/>
  </r>
  <r>
    <n v="29"/>
    <x v="28"/>
    <s v="Lina"/>
    <s v="AB00029"/>
    <x v="2"/>
    <x v="1"/>
    <s v="Peugeot"/>
    <n v="2011"/>
    <n v="177000"/>
    <x v="1"/>
    <x v="0"/>
    <n v="12"/>
    <n v="3240"/>
    <n v="0.06"/>
    <n v="10620"/>
    <n v="13860"/>
    <x v="0"/>
  </r>
  <r>
    <n v="30"/>
    <x v="29"/>
    <s v="Younes"/>
    <s v="AB00030"/>
    <x v="3"/>
    <x v="2"/>
    <s v="Dacia"/>
    <n v="2012"/>
    <n v="180000"/>
    <x v="2"/>
    <x v="1"/>
    <n v="12"/>
    <n v="3300"/>
    <n v="0.03"/>
    <n v="5400"/>
    <n v="8700"/>
    <x v="0"/>
  </r>
  <r>
    <n v="31"/>
    <x v="30"/>
    <s v="Ikram"/>
    <s v="AB00031"/>
    <x v="4"/>
    <x v="0"/>
    <s v="Renault"/>
    <n v="2013"/>
    <n v="183000"/>
    <x v="0"/>
    <x v="2"/>
    <n v="12"/>
    <n v="3360"/>
    <n v="0.05"/>
    <n v="9150"/>
    <n v="12510"/>
    <x v="0"/>
  </r>
  <r>
    <n v="32"/>
    <x v="31"/>
    <s v="Said"/>
    <s v="AB00032"/>
    <x v="1"/>
    <x v="1"/>
    <s v="Toyota"/>
    <n v="2014"/>
    <n v="186000"/>
    <x v="1"/>
    <x v="3"/>
    <n v="12"/>
    <n v="3420"/>
    <n v="0.06"/>
    <n v="11160"/>
    <n v="14580"/>
    <x v="0"/>
  </r>
  <r>
    <n v="33"/>
    <x v="32"/>
    <s v="Rania"/>
    <s v="AB00033"/>
    <x v="2"/>
    <x v="2"/>
    <s v="Hyundai"/>
    <n v="2015"/>
    <n v="189000"/>
    <x v="2"/>
    <x v="4"/>
    <n v="12"/>
    <n v="3480"/>
    <n v="0.03"/>
    <n v="5670"/>
    <n v="9150"/>
    <x v="0"/>
  </r>
  <r>
    <n v="34"/>
    <x v="33"/>
    <s v="Yassir"/>
    <s v="AB00034"/>
    <x v="3"/>
    <x v="0"/>
    <s v="Ford"/>
    <n v="2016"/>
    <n v="192000"/>
    <x v="0"/>
    <x v="5"/>
    <n v="12"/>
    <n v="3540"/>
    <n v="0.05"/>
    <n v="9600"/>
    <n v="13140"/>
    <x v="0"/>
  </r>
  <r>
    <n v="35"/>
    <x v="34"/>
    <s v="Malika"/>
    <s v="AB00035"/>
    <x v="0"/>
    <x v="1"/>
    <s v="Peugeot"/>
    <n v="2017"/>
    <n v="195000"/>
    <x v="1"/>
    <x v="6"/>
    <n v="12"/>
    <n v="3600"/>
    <n v="0.06"/>
    <n v="11700"/>
    <n v="15300"/>
    <x v="0"/>
  </r>
  <r>
    <n v="36"/>
    <x v="35"/>
    <s v="Reda"/>
    <s v="AB00036"/>
    <x v="4"/>
    <x v="2"/>
    <s v="Dacia"/>
    <n v="2018"/>
    <n v="198000"/>
    <x v="2"/>
    <x v="7"/>
    <n v="12"/>
    <n v="3660"/>
    <n v="0.03"/>
    <n v="5940"/>
    <n v="9600"/>
    <x v="0"/>
  </r>
  <r>
    <n v="37"/>
    <x v="36"/>
    <s v="Jamal"/>
    <s v="AB00037"/>
    <x v="1"/>
    <x v="0"/>
    <s v="Renault"/>
    <n v="2019"/>
    <n v="201000"/>
    <x v="0"/>
    <x v="8"/>
    <n v="12"/>
    <n v="3720"/>
    <n v="0.05"/>
    <n v="10050"/>
    <n v="13770"/>
    <x v="0"/>
  </r>
  <r>
    <n v="38"/>
    <x v="37"/>
    <s v="Ilham"/>
    <s v="AB00038"/>
    <x v="2"/>
    <x v="1"/>
    <s v="Toyota"/>
    <n v="2020"/>
    <n v="204000"/>
    <x v="1"/>
    <x v="9"/>
    <n v="12"/>
    <n v="3780"/>
    <n v="0.06"/>
    <n v="12240"/>
    <n v="16020"/>
    <x v="0"/>
  </r>
  <r>
    <n v="39"/>
    <x v="38"/>
    <s v="Adil"/>
    <s v="AB00039"/>
    <x v="3"/>
    <x v="2"/>
    <s v="Hyundai"/>
    <n v="2021"/>
    <n v="207000"/>
    <x v="2"/>
    <x v="10"/>
    <n v="12"/>
    <n v="3840"/>
    <n v="0.03"/>
    <n v="6210"/>
    <n v="10050"/>
    <x v="0"/>
  </r>
  <r>
    <n v="40"/>
    <x v="39"/>
    <s v="Naima"/>
    <s v="AB00040"/>
    <x v="0"/>
    <x v="0"/>
    <s v="Ford"/>
    <n v="2022"/>
    <n v="210000"/>
    <x v="0"/>
    <x v="11"/>
    <n v="12"/>
    <n v="3900"/>
    <n v="0.05"/>
    <n v="10500"/>
    <n v="144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061A9-749A-444F-8708-90430C64DA15}" name="Tableau croisé dynamique10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A9:B16" firstHeaderRow="1" firstDataRow="1" firstDataCol="1"/>
  <pivotFields count="17">
    <pivotField dataField="1" showAll="0"/>
    <pivotField showAll="0"/>
    <pivotField showAll="0"/>
    <pivotField showAll="0"/>
    <pivotField axis="axisRow" showAll="0">
      <items count="7">
        <item x="4"/>
        <item x="3"/>
        <item x="5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9"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ID_Client" fld="0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7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09F4A-AB02-424D-965A-FEA59653DEC9}" name="Tableau croisé dynamique9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6">
  <location ref="A2:B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9" showAll="0"/>
    <pivotField showAll="0"/>
    <pivotField dataField="1"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Prime_Totale" fld="15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9" type="button" dataOnly="0" labelOnly="1" outline="0" axis="axisRow" fieldPosition="0"/>
    </format>
    <format dxfId="8">
      <pivotArea dataOnly="0" labelOnly="1" fieldPosition="0">
        <references count="1">
          <reference field="9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4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463D9-3E19-4113-9725-AAF884AB8C44}" name="Tableau croisé dynamique14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>
  <location ref="A39:B45" firstHeaderRow="1" firstDataRow="1" firstDataCol="1"/>
  <pivotFields count="17">
    <pivotField showAll="0"/>
    <pivotField axis="axisRow" showAll="0" measureFilter="1" sortType="descending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 measure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9" showAll="0"/>
    <pivotField showAll="0"/>
    <pivotField dataField="1" showAll="0"/>
    <pivotField showAll="0"/>
  </pivotFields>
  <rowFields count="1">
    <field x="1"/>
  </rowFields>
  <rowItems count="6">
    <i>
      <x v="26"/>
    </i>
    <i>
      <x v="31"/>
    </i>
    <i>
      <x v="16"/>
    </i>
    <i>
      <x/>
    </i>
    <i>
      <x v="27"/>
    </i>
    <i t="grand">
      <x/>
    </i>
  </rowItems>
  <colItems count="1">
    <i/>
  </colItems>
  <dataFields count="1">
    <dataField name="Somme de Prime_Totale" fld="15" baseField="0" baseItem="0"/>
  </dataFields>
  <formats count="10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0" type="button" dataOnly="0" labelOnly="1" outline="0"/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0" type="button" dataOnly="0" labelOnly="1" outline="0"/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6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0" type="count" evalOrder="-1" id="1" iMeasureFld="0">
      <autoFilter ref="A1">
        <filterColumn colId="0">
          <top10 val="5" filterVal="5"/>
        </filterColumn>
      </autoFilter>
    </filter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D8794-5D6A-43BB-B7DB-C374AAE5B458}" name="Tableau croisé dynamique13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A32:B34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9" showAll="0"/>
    <pivotField showAll="0"/>
    <pivotField dataField="1" showAll="0"/>
    <pivotField showAll="0"/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omme de Prime_Totale" fld="15" baseField="0" baseItem="0"/>
  </dataFields>
  <formats count="12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0" type="button" dataOnly="0" labelOnly="1" outline="0" axis="axisRow" fieldPosition="0"/>
    </format>
    <format dxfId="30">
      <pivotArea dataOnly="0" labelOnly="1" fieldPosition="0">
        <references count="1">
          <reference field="10" count="1">
            <x v="1"/>
          </reference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0" type="button" dataOnly="0" labelOnly="1" outline="0" axis="axisRow" fieldPosition="0"/>
    </format>
    <format dxfId="24">
      <pivotArea dataOnly="0" labelOnly="1" fieldPosition="0">
        <references count="1">
          <reference field="10" count="1">
            <x v="1"/>
          </reference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CA00A-ED48-4509-B5CC-DA4B22F47E67}" name="Tableau croisé dynamique12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6">
  <location ref="A26:B29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9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Somme de ID_Client" fld="0" baseField="0" baseItem="0"/>
  </dataFields>
  <formats count="12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6" type="button" dataOnly="0" labelOnly="1" outline="0" axis="axisRow" fieldPosition="0"/>
    </format>
    <format dxfId="42">
      <pivotArea dataOnly="0" labelOnly="1" fieldPosition="0">
        <references count="1">
          <reference field="16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6" type="button" dataOnly="0" labelOnly="1" outline="0" axis="axisRow" fieldPosition="0"/>
    </format>
    <format dxfId="36">
      <pivotArea dataOnly="0" labelOnly="1" fieldPosition="0">
        <references count="1">
          <reference field="16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chartFormats count="3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E67C1-64FD-4087-A95F-09B815AC84E4}" name="Tableau croisé dynamique1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>
  <location ref="A19:B23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9" showAll="0"/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oyenne de Prime_Totale" fld="15" subtotal="average" baseField="0" baseItem="312999296"/>
  </dataFields>
  <formats count="12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5" type="button" dataOnly="0" labelOnly="1" outline="0" axis="axisRow" fieldPosition="0"/>
    </format>
    <format dxfId="54">
      <pivotArea dataOnly="0" labelOnly="1" fieldPosition="0">
        <references count="1">
          <reference field="5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5" type="button" dataOnly="0" labelOnly="1" outline="0" axis="axisRow" fieldPosition="0"/>
    </format>
    <format dxfId="48">
      <pivotArea dataOnly="0" labelOnly="1" fieldPosition="0">
        <references count="1">
          <reference field="5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</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topLeftCell="A8" workbookViewId="0">
      <selection activeCell="W7" sqref="W7"/>
    </sheetView>
  </sheetViews>
  <sheetFormatPr baseColWidth="10" defaultColWidth="8.90625" defaultRowHeight="14.5" x14ac:dyDescent="0.35"/>
  <cols>
    <col min="1" max="1" width="12.08984375" customWidth="1"/>
    <col min="2" max="2" width="11.6328125" style="4" bestFit="1" customWidth="1"/>
    <col min="3" max="3" width="10.08984375" style="4" bestFit="1" customWidth="1"/>
    <col min="4" max="4" width="8.1796875" style="4" bestFit="1" customWidth="1"/>
    <col min="5" max="5" width="10.1796875" style="4" bestFit="1" customWidth="1"/>
    <col min="6" max="6" width="12.81640625" style="4" bestFit="1" customWidth="1"/>
    <col min="7" max="7" width="7.6328125" style="4" bestFit="1" customWidth="1"/>
    <col min="8" max="8" width="14" bestFit="1" customWidth="1"/>
    <col min="9" max="10" width="14.08984375" bestFit="1" customWidth="1"/>
    <col min="11" max="11" width="15.90625" bestFit="1" customWidth="1"/>
    <col min="12" max="12" width="5.90625" customWidth="1"/>
    <col min="13" max="13" width="10.54296875" bestFit="1" customWidth="1"/>
    <col min="14" max="14" width="11.1796875" bestFit="1" customWidth="1"/>
    <col min="15" max="15" width="14.453125" bestFit="1" customWidth="1"/>
    <col min="16" max="16" width="17.1796875" style="27" bestFit="1" customWidth="1"/>
    <col min="17" max="17" width="11.54296875" bestFit="1" customWidth="1"/>
    <col min="18" max="18" width="12.54296875" customWidth="1"/>
    <col min="19" max="19" width="14.90625" customWidth="1"/>
    <col min="20" max="20" width="23.36328125" customWidth="1"/>
    <col min="21" max="21" width="18.36328125" customWidth="1"/>
    <col min="22" max="22" width="9.90625" customWidth="1"/>
    <col min="23" max="23" width="13.54296875" customWidth="1"/>
    <col min="24" max="24" width="16.08984375" customWidth="1"/>
  </cols>
  <sheetData>
    <row r="1" spans="1:22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25" t="s">
        <v>15</v>
      </c>
      <c r="Q1" s="5" t="s">
        <v>16</v>
      </c>
      <c r="R1" s="5" t="s">
        <v>155</v>
      </c>
      <c r="S1" s="5" t="s">
        <v>156</v>
      </c>
      <c r="T1" s="5" t="s">
        <v>157</v>
      </c>
      <c r="U1" s="5" t="s">
        <v>158</v>
      </c>
      <c r="V1" s="7" t="s">
        <v>159</v>
      </c>
    </row>
    <row r="2" spans="1:22" x14ac:dyDescent="0.35">
      <c r="A2" s="1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1">
        <v>2011</v>
      </c>
      <c r="I2" s="1">
        <v>93000</v>
      </c>
      <c r="J2" s="1" t="s">
        <v>23</v>
      </c>
      <c r="K2" s="2">
        <v>45659</v>
      </c>
      <c r="L2" s="1">
        <v>12</v>
      </c>
      <c r="M2" s="1">
        <v>1560</v>
      </c>
      <c r="N2" s="9">
        <f t="shared" ref="N2:N41" si="0">IF(F2="moto",5%,IF(F2="voiture",3%,IF(F2="camion",6%,0%)))</f>
        <v>0.05</v>
      </c>
      <c r="O2" s="1">
        <f t="shared" ref="O2:O41" si="1">I2*N2</f>
        <v>4650</v>
      </c>
      <c r="P2" s="26">
        <f t="shared" ref="P2:P41" si="2">M2+O2</f>
        <v>6210</v>
      </c>
      <c r="Q2" s="1" t="str">
        <f>IF(P2&lt;2000,"Standard",IF(P2&lt;=5000,"Premiun","VIP"))</f>
        <v>VIP</v>
      </c>
      <c r="R2" s="8">
        <f>COUNTIF(J:J,"Tous Risques")</f>
        <v>13</v>
      </c>
      <c r="S2" s="8">
        <f>COUNTIF(F:F,"Voiture")</f>
        <v>13</v>
      </c>
      <c r="T2" s="8">
        <f>SUMIF(E1:E41,"Ouarzazate",P1:P41)</f>
        <v>72060</v>
      </c>
      <c r="U2" s="11">
        <f>SUMIF(F:F,"Camion",P:P)</f>
        <v>152100</v>
      </c>
      <c r="V2" s="8">
        <f>RANK(P2,P2:P41,0)</f>
        <v>36</v>
      </c>
    </row>
    <row r="3" spans="1:22" x14ac:dyDescent="0.35">
      <c r="A3" s="1">
        <v>2</v>
      </c>
      <c r="B3" s="3" t="s">
        <v>24</v>
      </c>
      <c r="C3" s="3" t="s">
        <v>25</v>
      </c>
      <c r="D3" s="3" t="s">
        <v>26</v>
      </c>
      <c r="E3" s="3" t="s">
        <v>20</v>
      </c>
      <c r="F3" s="3" t="s">
        <v>27</v>
      </c>
      <c r="G3" s="3" t="s">
        <v>28</v>
      </c>
      <c r="H3" s="1">
        <v>2012</v>
      </c>
      <c r="I3" s="1">
        <v>96000</v>
      </c>
      <c r="J3" s="1" t="s">
        <v>29</v>
      </c>
      <c r="K3" s="2">
        <v>45660</v>
      </c>
      <c r="L3" s="1">
        <v>12</v>
      </c>
      <c r="M3" s="1">
        <v>1620</v>
      </c>
      <c r="N3" s="9">
        <f t="shared" si="0"/>
        <v>0.06</v>
      </c>
      <c r="O3" s="1">
        <f t="shared" si="1"/>
        <v>5760</v>
      </c>
      <c r="P3" s="26">
        <f t="shared" si="2"/>
        <v>7380</v>
      </c>
      <c r="Q3" s="1" t="str">
        <f t="shared" ref="Q3:Q41" si="3">IF(P3&lt;2000,"Standard",IF(P3&lt;5000,"Premiun","VIP"))</f>
        <v>VIP</v>
      </c>
      <c r="V3" s="8">
        <f t="shared" ref="V3:V40" si="4">RANK(P3,P3:P42,0)</f>
        <v>31</v>
      </c>
    </row>
    <row r="4" spans="1:22" x14ac:dyDescent="0.35">
      <c r="A4" s="1"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1">
        <v>2013</v>
      </c>
      <c r="I4" s="1">
        <v>99000</v>
      </c>
      <c r="J4" s="1" t="s">
        <v>36</v>
      </c>
      <c r="K4" s="2">
        <v>45661</v>
      </c>
      <c r="L4" s="1">
        <v>12</v>
      </c>
      <c r="M4" s="1">
        <v>1680</v>
      </c>
      <c r="N4" s="9">
        <f t="shared" si="0"/>
        <v>0.03</v>
      </c>
      <c r="O4" s="1">
        <f t="shared" si="1"/>
        <v>2970</v>
      </c>
      <c r="P4" s="26">
        <f t="shared" si="2"/>
        <v>4650</v>
      </c>
      <c r="Q4" s="1" t="str">
        <f t="shared" si="3"/>
        <v>Premiun</v>
      </c>
      <c r="R4" s="10"/>
      <c r="S4" s="10"/>
      <c r="T4" s="10"/>
      <c r="V4" s="8">
        <f t="shared" si="4"/>
        <v>38</v>
      </c>
    </row>
    <row r="5" spans="1:22" x14ac:dyDescent="0.35">
      <c r="A5" s="1">
        <v>4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21</v>
      </c>
      <c r="G5" s="3" t="s">
        <v>41</v>
      </c>
      <c r="H5" s="1">
        <v>2014</v>
      </c>
      <c r="I5" s="1">
        <v>102000</v>
      </c>
      <c r="J5" s="1" t="s">
        <v>23</v>
      </c>
      <c r="K5" s="2">
        <v>45662</v>
      </c>
      <c r="L5" s="1">
        <v>12</v>
      </c>
      <c r="M5" s="1">
        <v>1740</v>
      </c>
      <c r="N5" s="9">
        <f t="shared" si="0"/>
        <v>0.05</v>
      </c>
      <c r="O5" s="1">
        <f t="shared" si="1"/>
        <v>5100</v>
      </c>
      <c r="P5" s="26">
        <f t="shared" si="2"/>
        <v>6840</v>
      </c>
      <c r="Q5" s="1" t="str">
        <f t="shared" si="3"/>
        <v>VIP</v>
      </c>
      <c r="V5" s="8">
        <f t="shared" si="4"/>
        <v>33</v>
      </c>
    </row>
    <row r="6" spans="1:22" x14ac:dyDescent="0.35">
      <c r="A6" s="1">
        <v>5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27</v>
      </c>
      <c r="G6" s="3" t="s">
        <v>46</v>
      </c>
      <c r="H6" s="1">
        <v>2015</v>
      </c>
      <c r="I6" s="1">
        <v>105000</v>
      </c>
      <c r="J6" s="1" t="s">
        <v>29</v>
      </c>
      <c r="K6" s="2">
        <v>45663</v>
      </c>
      <c r="L6" s="1">
        <v>12</v>
      </c>
      <c r="M6" s="1">
        <v>1800</v>
      </c>
      <c r="N6" s="9">
        <f t="shared" si="0"/>
        <v>0.06</v>
      </c>
      <c r="O6" s="1">
        <f t="shared" si="1"/>
        <v>6300</v>
      </c>
      <c r="P6" s="26">
        <f t="shared" si="2"/>
        <v>8100</v>
      </c>
      <c r="Q6" s="1" t="str">
        <f t="shared" si="3"/>
        <v>VIP</v>
      </c>
      <c r="V6" s="8">
        <f t="shared" si="4"/>
        <v>27</v>
      </c>
    </row>
    <row r="7" spans="1:22" x14ac:dyDescent="0.35">
      <c r="A7" s="1">
        <v>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34</v>
      </c>
      <c r="G7" s="3" t="s">
        <v>51</v>
      </c>
      <c r="H7" s="1">
        <v>2016</v>
      </c>
      <c r="I7" s="1">
        <v>108000</v>
      </c>
      <c r="J7" s="1" t="s">
        <v>36</v>
      </c>
      <c r="K7" s="2">
        <v>45664</v>
      </c>
      <c r="L7" s="1">
        <v>12</v>
      </c>
      <c r="M7" s="1">
        <v>1860</v>
      </c>
      <c r="N7" s="9">
        <f t="shared" si="0"/>
        <v>0.03</v>
      </c>
      <c r="O7" s="1">
        <f t="shared" si="1"/>
        <v>3240</v>
      </c>
      <c r="P7" s="26">
        <f t="shared" si="2"/>
        <v>5100</v>
      </c>
      <c r="Q7" s="1" t="str">
        <f t="shared" si="3"/>
        <v>VIP</v>
      </c>
      <c r="V7" s="8">
        <f t="shared" si="4"/>
        <v>35</v>
      </c>
    </row>
    <row r="8" spans="1:22" x14ac:dyDescent="0.35">
      <c r="A8" s="1">
        <v>7</v>
      </c>
      <c r="B8" s="3" t="s">
        <v>52</v>
      </c>
      <c r="C8" s="3" t="s">
        <v>53</v>
      </c>
      <c r="D8" s="3" t="s">
        <v>54</v>
      </c>
      <c r="E8" s="3" t="s">
        <v>33</v>
      </c>
      <c r="F8" s="3" t="s">
        <v>21</v>
      </c>
      <c r="G8" s="3" t="s">
        <v>22</v>
      </c>
      <c r="H8" s="1">
        <v>2017</v>
      </c>
      <c r="I8" s="1">
        <v>111000</v>
      </c>
      <c r="J8" s="1" t="s">
        <v>23</v>
      </c>
      <c r="K8" s="2">
        <v>45665</v>
      </c>
      <c r="L8" s="1">
        <v>12</v>
      </c>
      <c r="M8" s="1">
        <v>1920</v>
      </c>
      <c r="N8" s="9">
        <f t="shared" si="0"/>
        <v>0.05</v>
      </c>
      <c r="O8" s="1">
        <f t="shared" si="1"/>
        <v>5550</v>
      </c>
      <c r="P8" s="26">
        <f t="shared" si="2"/>
        <v>7470</v>
      </c>
      <c r="Q8" s="1" t="str">
        <f t="shared" si="3"/>
        <v>VIP</v>
      </c>
      <c r="V8" s="8">
        <f t="shared" si="4"/>
        <v>29</v>
      </c>
    </row>
    <row r="9" spans="1:22" x14ac:dyDescent="0.35">
      <c r="A9" s="1">
        <v>8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27</v>
      </c>
      <c r="G9" s="3" t="s">
        <v>28</v>
      </c>
      <c r="H9" s="1">
        <v>2018</v>
      </c>
      <c r="I9" s="1">
        <v>114000</v>
      </c>
      <c r="J9" s="1" t="s">
        <v>29</v>
      </c>
      <c r="K9" s="2">
        <v>45666</v>
      </c>
      <c r="L9" s="1">
        <v>12</v>
      </c>
      <c r="M9" s="1">
        <v>1980</v>
      </c>
      <c r="N9" s="9">
        <f t="shared" si="0"/>
        <v>0.06</v>
      </c>
      <c r="O9" s="1">
        <f t="shared" si="1"/>
        <v>6840</v>
      </c>
      <c r="P9" s="26">
        <f t="shared" si="2"/>
        <v>8820</v>
      </c>
      <c r="Q9" s="1" t="str">
        <f t="shared" si="3"/>
        <v>VIP</v>
      </c>
      <c r="V9" s="8">
        <f t="shared" si="4"/>
        <v>23</v>
      </c>
    </row>
    <row r="10" spans="1:22" x14ac:dyDescent="0.35">
      <c r="A10" s="1">
        <v>9</v>
      </c>
      <c r="B10" s="3" t="s">
        <v>59</v>
      </c>
      <c r="C10" s="3" t="s">
        <v>60</v>
      </c>
      <c r="D10" s="3" t="s">
        <v>61</v>
      </c>
      <c r="E10" s="3" t="s">
        <v>40</v>
      </c>
      <c r="F10" s="3" t="s">
        <v>34</v>
      </c>
      <c r="G10" s="3" t="s">
        <v>35</v>
      </c>
      <c r="H10" s="1">
        <v>2019</v>
      </c>
      <c r="I10" s="1">
        <v>117000</v>
      </c>
      <c r="J10" s="1" t="s">
        <v>36</v>
      </c>
      <c r="K10" s="2">
        <v>45667</v>
      </c>
      <c r="L10" s="1">
        <v>12</v>
      </c>
      <c r="M10" s="1">
        <v>2040</v>
      </c>
      <c r="N10" s="9">
        <f t="shared" si="0"/>
        <v>0.03</v>
      </c>
      <c r="O10" s="1">
        <f t="shared" si="1"/>
        <v>3510</v>
      </c>
      <c r="P10" s="26">
        <f t="shared" si="2"/>
        <v>5550</v>
      </c>
      <c r="Q10" s="1" t="str">
        <f t="shared" si="3"/>
        <v>VIP</v>
      </c>
      <c r="V10" s="8">
        <f t="shared" si="4"/>
        <v>32</v>
      </c>
    </row>
    <row r="11" spans="1:22" x14ac:dyDescent="0.35">
      <c r="A11" s="1">
        <v>10</v>
      </c>
      <c r="B11" s="3" t="s">
        <v>62</v>
      </c>
      <c r="C11" s="3" t="s">
        <v>63</v>
      </c>
      <c r="D11" s="3" t="s">
        <v>64</v>
      </c>
      <c r="E11" s="3" t="s">
        <v>50</v>
      </c>
      <c r="F11" s="3" t="s">
        <v>21</v>
      </c>
      <c r="G11" s="3" t="s">
        <v>41</v>
      </c>
      <c r="H11" s="1">
        <v>2020</v>
      </c>
      <c r="I11" s="1">
        <v>120000</v>
      </c>
      <c r="J11" s="1" t="s">
        <v>23</v>
      </c>
      <c r="K11" s="2">
        <v>45668</v>
      </c>
      <c r="L11" s="1">
        <v>12</v>
      </c>
      <c r="M11" s="1">
        <v>2100</v>
      </c>
      <c r="N11" s="9">
        <f t="shared" si="0"/>
        <v>0.05</v>
      </c>
      <c r="O11" s="1">
        <f t="shared" si="1"/>
        <v>6000</v>
      </c>
      <c r="P11" s="26">
        <f t="shared" si="2"/>
        <v>8100</v>
      </c>
      <c r="Q11" s="1" t="str">
        <f t="shared" si="3"/>
        <v>VIP</v>
      </c>
      <c r="V11" s="8">
        <f t="shared" si="4"/>
        <v>26</v>
      </c>
    </row>
    <row r="12" spans="1:22" x14ac:dyDescent="0.35">
      <c r="A12" s="1">
        <v>11</v>
      </c>
      <c r="B12" s="3" t="s">
        <v>65</v>
      </c>
      <c r="C12" s="3" t="s">
        <v>66</v>
      </c>
      <c r="D12" s="3" t="s">
        <v>67</v>
      </c>
      <c r="E12" s="3" t="s">
        <v>45</v>
      </c>
      <c r="F12" s="3" t="s">
        <v>27</v>
      </c>
      <c r="G12" s="3" t="s">
        <v>46</v>
      </c>
      <c r="H12" s="1">
        <v>2021</v>
      </c>
      <c r="I12" s="1">
        <v>123000</v>
      </c>
      <c r="J12" s="1" t="s">
        <v>29</v>
      </c>
      <c r="K12" s="2">
        <v>45669</v>
      </c>
      <c r="L12" s="1">
        <v>12</v>
      </c>
      <c r="M12" s="1">
        <v>2160</v>
      </c>
      <c r="N12" s="9">
        <f t="shared" si="0"/>
        <v>0.06</v>
      </c>
      <c r="O12" s="1">
        <f t="shared" si="1"/>
        <v>7380</v>
      </c>
      <c r="P12" s="26">
        <f t="shared" si="2"/>
        <v>9540</v>
      </c>
      <c r="Q12" s="1" t="str">
        <f t="shared" si="3"/>
        <v>VIP</v>
      </c>
      <c r="V12" s="8">
        <f t="shared" si="4"/>
        <v>20</v>
      </c>
    </row>
    <row r="13" spans="1:22" x14ac:dyDescent="0.35">
      <c r="A13" s="1">
        <v>12</v>
      </c>
      <c r="B13" s="3" t="s">
        <v>68</v>
      </c>
      <c r="C13" s="3" t="s">
        <v>69</v>
      </c>
      <c r="D13" s="3" t="s">
        <v>70</v>
      </c>
      <c r="E13" s="3" t="s">
        <v>33</v>
      </c>
      <c r="F13" s="3" t="s">
        <v>34</v>
      </c>
      <c r="G13" s="3" t="s">
        <v>51</v>
      </c>
      <c r="H13" s="1">
        <v>2022</v>
      </c>
      <c r="I13" s="1">
        <v>126000</v>
      </c>
      <c r="J13" s="1" t="s">
        <v>36</v>
      </c>
      <c r="K13" s="2">
        <v>45670</v>
      </c>
      <c r="L13" s="1">
        <v>12</v>
      </c>
      <c r="M13" s="1">
        <v>2220</v>
      </c>
      <c r="N13" s="9">
        <f t="shared" si="0"/>
        <v>0.03</v>
      </c>
      <c r="O13" s="1">
        <f t="shared" si="1"/>
        <v>3780</v>
      </c>
      <c r="P13" s="26">
        <f t="shared" si="2"/>
        <v>6000</v>
      </c>
      <c r="Q13" s="1" t="str">
        <f t="shared" si="3"/>
        <v>VIP</v>
      </c>
      <c r="V13" s="8">
        <f t="shared" si="4"/>
        <v>29</v>
      </c>
    </row>
    <row r="14" spans="1:22" x14ac:dyDescent="0.35">
      <c r="A14" s="1">
        <v>13</v>
      </c>
      <c r="B14" s="3" t="s">
        <v>71</v>
      </c>
      <c r="C14" s="3" t="s">
        <v>72</v>
      </c>
      <c r="D14" s="3" t="s">
        <v>73</v>
      </c>
      <c r="E14" s="3" t="s">
        <v>20</v>
      </c>
      <c r="F14" s="3" t="s">
        <v>21</v>
      </c>
      <c r="G14" s="3" t="s">
        <v>22</v>
      </c>
      <c r="H14" s="1">
        <v>2023</v>
      </c>
      <c r="I14" s="1">
        <v>129000</v>
      </c>
      <c r="J14" s="1" t="s">
        <v>23</v>
      </c>
      <c r="K14" s="2">
        <v>45671</v>
      </c>
      <c r="L14" s="1">
        <v>12</v>
      </c>
      <c r="M14" s="1">
        <v>2280</v>
      </c>
      <c r="N14" s="9">
        <f t="shared" si="0"/>
        <v>0.05</v>
      </c>
      <c r="O14" s="1">
        <f t="shared" si="1"/>
        <v>6450</v>
      </c>
      <c r="P14" s="26">
        <f t="shared" si="2"/>
        <v>8730</v>
      </c>
      <c r="Q14" s="1" t="str">
        <f t="shared" si="3"/>
        <v>VIP</v>
      </c>
      <c r="V14" s="8">
        <f t="shared" si="4"/>
        <v>22</v>
      </c>
    </row>
    <row r="15" spans="1:22" x14ac:dyDescent="0.35">
      <c r="A15" s="1">
        <v>14</v>
      </c>
      <c r="B15" s="3" t="s">
        <v>74</v>
      </c>
      <c r="C15" s="3" t="s">
        <v>75</v>
      </c>
      <c r="D15" s="3" t="s">
        <v>76</v>
      </c>
      <c r="E15" s="3" t="s">
        <v>50</v>
      </c>
      <c r="F15" s="3" t="s">
        <v>27</v>
      </c>
      <c r="G15" s="3" t="s">
        <v>28</v>
      </c>
      <c r="H15" s="1">
        <v>2010</v>
      </c>
      <c r="I15" s="1">
        <v>132000</v>
      </c>
      <c r="J15" s="1" t="s">
        <v>29</v>
      </c>
      <c r="K15" s="2">
        <v>45672</v>
      </c>
      <c r="L15" s="1">
        <v>12</v>
      </c>
      <c r="M15" s="1">
        <v>2340</v>
      </c>
      <c r="N15" s="9">
        <f t="shared" si="0"/>
        <v>0.06</v>
      </c>
      <c r="O15" s="1">
        <f t="shared" si="1"/>
        <v>7920</v>
      </c>
      <c r="P15" s="26">
        <f t="shared" si="2"/>
        <v>10260</v>
      </c>
      <c r="Q15" s="1" t="str">
        <f t="shared" si="3"/>
        <v>VIP</v>
      </c>
      <c r="V15" s="8">
        <f t="shared" si="4"/>
        <v>16</v>
      </c>
    </row>
    <row r="16" spans="1:22" x14ac:dyDescent="0.35">
      <c r="A16" s="1">
        <v>15</v>
      </c>
      <c r="B16" s="3" t="s">
        <v>77</v>
      </c>
      <c r="C16" s="3" t="s">
        <v>78</v>
      </c>
      <c r="D16" s="3" t="s">
        <v>79</v>
      </c>
      <c r="E16" s="3" t="s">
        <v>45</v>
      </c>
      <c r="F16" s="3" t="s">
        <v>34</v>
      </c>
      <c r="G16" s="3" t="s">
        <v>35</v>
      </c>
      <c r="H16" s="1">
        <v>2011</v>
      </c>
      <c r="I16" s="1">
        <v>135000</v>
      </c>
      <c r="J16" s="1" t="s">
        <v>36</v>
      </c>
      <c r="K16" s="2">
        <v>45673</v>
      </c>
      <c r="L16" s="1">
        <v>12</v>
      </c>
      <c r="M16" s="1">
        <v>2400</v>
      </c>
      <c r="N16" s="9">
        <f t="shared" si="0"/>
        <v>0.03</v>
      </c>
      <c r="O16" s="1">
        <f t="shared" si="1"/>
        <v>4050</v>
      </c>
      <c r="P16" s="26">
        <f t="shared" si="2"/>
        <v>6450</v>
      </c>
      <c r="Q16" s="1" t="str">
        <f t="shared" si="3"/>
        <v>VIP</v>
      </c>
      <c r="V16" s="8">
        <f t="shared" si="4"/>
        <v>26</v>
      </c>
    </row>
    <row r="17" spans="1:22" x14ac:dyDescent="0.35">
      <c r="A17" s="1">
        <v>16</v>
      </c>
      <c r="B17" s="3" t="s">
        <v>80</v>
      </c>
      <c r="C17" s="3" t="s">
        <v>81</v>
      </c>
      <c r="D17" s="3" t="s">
        <v>82</v>
      </c>
      <c r="E17" s="3" t="s">
        <v>40</v>
      </c>
      <c r="F17" s="3" t="s">
        <v>21</v>
      </c>
      <c r="G17" s="3" t="s">
        <v>41</v>
      </c>
      <c r="H17" s="1">
        <v>2012</v>
      </c>
      <c r="I17" s="1">
        <v>138000</v>
      </c>
      <c r="J17" s="1" t="s">
        <v>23</v>
      </c>
      <c r="K17" s="2">
        <v>45674</v>
      </c>
      <c r="L17" s="1">
        <v>12</v>
      </c>
      <c r="M17" s="1">
        <v>2460</v>
      </c>
      <c r="N17" s="9">
        <f t="shared" si="0"/>
        <v>0.05</v>
      </c>
      <c r="O17" s="1">
        <f t="shared" si="1"/>
        <v>6900</v>
      </c>
      <c r="P17" s="26">
        <f t="shared" si="2"/>
        <v>9360</v>
      </c>
      <c r="Q17" s="1" t="str">
        <f t="shared" si="3"/>
        <v>VIP</v>
      </c>
      <c r="V17" s="8">
        <f t="shared" si="4"/>
        <v>19</v>
      </c>
    </row>
    <row r="18" spans="1:22" x14ac:dyDescent="0.35">
      <c r="A18" s="1">
        <v>17</v>
      </c>
      <c r="B18" s="3" t="s">
        <v>83</v>
      </c>
      <c r="C18" s="3" t="s">
        <v>84</v>
      </c>
      <c r="D18" s="3" t="s">
        <v>85</v>
      </c>
      <c r="E18" s="3" t="s">
        <v>33</v>
      </c>
      <c r="F18" s="3" t="s">
        <v>27</v>
      </c>
      <c r="G18" s="3" t="s">
        <v>46</v>
      </c>
      <c r="H18" s="1">
        <v>2013</v>
      </c>
      <c r="I18" s="1">
        <v>141000</v>
      </c>
      <c r="J18" s="1" t="s">
        <v>29</v>
      </c>
      <c r="K18" s="2">
        <v>45675</v>
      </c>
      <c r="L18" s="1">
        <v>12</v>
      </c>
      <c r="M18" s="1">
        <v>2520</v>
      </c>
      <c r="N18" s="9">
        <f t="shared" si="0"/>
        <v>0.06</v>
      </c>
      <c r="O18" s="1">
        <f t="shared" si="1"/>
        <v>8460</v>
      </c>
      <c r="P18" s="26">
        <f t="shared" si="2"/>
        <v>10980</v>
      </c>
      <c r="Q18" s="1" t="str">
        <f t="shared" si="3"/>
        <v>VIP</v>
      </c>
      <c r="V18" s="8">
        <f t="shared" si="4"/>
        <v>14</v>
      </c>
    </row>
    <row r="19" spans="1:22" x14ac:dyDescent="0.35">
      <c r="A19" s="1">
        <v>18</v>
      </c>
      <c r="B19" s="3" t="s">
        <v>86</v>
      </c>
      <c r="C19" s="3" t="s">
        <v>87</v>
      </c>
      <c r="D19" s="3" t="s">
        <v>88</v>
      </c>
      <c r="E19" s="3" t="s">
        <v>20</v>
      </c>
      <c r="F19" s="3" t="s">
        <v>34</v>
      </c>
      <c r="G19" s="3" t="s">
        <v>51</v>
      </c>
      <c r="H19" s="1">
        <v>2014</v>
      </c>
      <c r="I19" s="1">
        <v>144000</v>
      </c>
      <c r="J19" s="1" t="s">
        <v>36</v>
      </c>
      <c r="K19" s="2">
        <v>45676</v>
      </c>
      <c r="L19" s="1">
        <v>12</v>
      </c>
      <c r="M19" s="1">
        <v>2580</v>
      </c>
      <c r="N19" s="9">
        <f t="shared" si="0"/>
        <v>0.03</v>
      </c>
      <c r="O19" s="1">
        <f t="shared" si="1"/>
        <v>4320</v>
      </c>
      <c r="P19" s="26">
        <f t="shared" si="2"/>
        <v>6900</v>
      </c>
      <c r="Q19" s="1" t="str">
        <f t="shared" si="3"/>
        <v>VIP</v>
      </c>
      <c r="V19" s="8">
        <f t="shared" si="4"/>
        <v>23</v>
      </c>
    </row>
    <row r="20" spans="1:22" x14ac:dyDescent="0.35">
      <c r="A20" s="1">
        <v>19</v>
      </c>
      <c r="B20" s="3" t="s">
        <v>89</v>
      </c>
      <c r="C20" s="3" t="s">
        <v>90</v>
      </c>
      <c r="D20" s="3" t="s">
        <v>91</v>
      </c>
      <c r="E20" s="3" t="s">
        <v>50</v>
      </c>
      <c r="F20" s="3" t="s">
        <v>21</v>
      </c>
      <c r="G20" s="3" t="s">
        <v>22</v>
      </c>
      <c r="H20" s="1">
        <v>2015</v>
      </c>
      <c r="I20" s="1">
        <v>147000</v>
      </c>
      <c r="J20" s="1" t="s">
        <v>23</v>
      </c>
      <c r="K20" s="2">
        <v>45677</v>
      </c>
      <c r="L20" s="1">
        <v>12</v>
      </c>
      <c r="M20" s="1">
        <v>2640</v>
      </c>
      <c r="N20" s="9">
        <f t="shared" si="0"/>
        <v>0.05</v>
      </c>
      <c r="O20" s="1">
        <f t="shared" si="1"/>
        <v>7350</v>
      </c>
      <c r="P20" s="26">
        <f t="shared" si="2"/>
        <v>9990</v>
      </c>
      <c r="Q20" s="1" t="str">
        <f t="shared" si="3"/>
        <v>VIP</v>
      </c>
      <c r="V20" s="8">
        <f t="shared" si="4"/>
        <v>16</v>
      </c>
    </row>
    <row r="21" spans="1:22" x14ac:dyDescent="0.35">
      <c r="A21" s="1">
        <v>20</v>
      </c>
      <c r="B21" s="3" t="s">
        <v>92</v>
      </c>
      <c r="C21" s="3" t="s">
        <v>93</v>
      </c>
      <c r="D21" s="3" t="s">
        <v>94</v>
      </c>
      <c r="E21" s="3" t="s">
        <v>45</v>
      </c>
      <c r="F21" s="3" t="s">
        <v>27</v>
      </c>
      <c r="G21" s="3" t="s">
        <v>28</v>
      </c>
      <c r="H21" s="1">
        <v>2016</v>
      </c>
      <c r="I21" s="1">
        <v>150000</v>
      </c>
      <c r="J21" s="1" t="s">
        <v>29</v>
      </c>
      <c r="K21" s="2">
        <v>45678</v>
      </c>
      <c r="L21" s="1">
        <v>12</v>
      </c>
      <c r="M21" s="1">
        <v>2700</v>
      </c>
      <c r="N21" s="9">
        <f t="shared" si="0"/>
        <v>0.06</v>
      </c>
      <c r="O21" s="1">
        <f t="shared" si="1"/>
        <v>9000</v>
      </c>
      <c r="P21" s="26">
        <f t="shared" si="2"/>
        <v>11700</v>
      </c>
      <c r="Q21" s="1" t="str">
        <f t="shared" si="3"/>
        <v>VIP</v>
      </c>
      <c r="V21" s="8">
        <f t="shared" si="4"/>
        <v>12</v>
      </c>
    </row>
    <row r="22" spans="1:22" x14ac:dyDescent="0.35">
      <c r="A22" s="1">
        <v>21</v>
      </c>
      <c r="B22" s="3" t="s">
        <v>95</v>
      </c>
      <c r="C22" s="3" t="s">
        <v>96</v>
      </c>
      <c r="D22" s="3" t="s">
        <v>97</v>
      </c>
      <c r="E22" s="3" t="s">
        <v>40</v>
      </c>
      <c r="F22" s="3" t="s">
        <v>34</v>
      </c>
      <c r="G22" s="3" t="s">
        <v>35</v>
      </c>
      <c r="H22" s="1">
        <v>2017</v>
      </c>
      <c r="I22" s="1">
        <v>153000</v>
      </c>
      <c r="J22" s="1" t="s">
        <v>36</v>
      </c>
      <c r="K22" s="2">
        <v>45679</v>
      </c>
      <c r="L22" s="1">
        <v>12</v>
      </c>
      <c r="M22" s="1">
        <v>2760</v>
      </c>
      <c r="N22" s="9">
        <f t="shared" si="0"/>
        <v>0.03</v>
      </c>
      <c r="O22" s="1">
        <f t="shared" si="1"/>
        <v>4590</v>
      </c>
      <c r="P22" s="26">
        <f t="shared" si="2"/>
        <v>7350</v>
      </c>
      <c r="Q22" s="1" t="str">
        <f t="shared" si="3"/>
        <v>VIP</v>
      </c>
      <c r="V22" s="8">
        <f t="shared" si="4"/>
        <v>20</v>
      </c>
    </row>
    <row r="23" spans="1:22" x14ac:dyDescent="0.35">
      <c r="A23" s="1">
        <v>22</v>
      </c>
      <c r="B23" s="3" t="s">
        <v>98</v>
      </c>
      <c r="C23" s="3" t="s">
        <v>99</v>
      </c>
      <c r="D23" s="3" t="s">
        <v>100</v>
      </c>
      <c r="E23" s="3" t="s">
        <v>33</v>
      </c>
      <c r="F23" s="3" t="s">
        <v>21</v>
      </c>
      <c r="G23" s="3" t="s">
        <v>41</v>
      </c>
      <c r="H23" s="1">
        <v>2018</v>
      </c>
      <c r="I23" s="1">
        <v>156000</v>
      </c>
      <c r="J23" s="1" t="s">
        <v>23</v>
      </c>
      <c r="K23" s="2">
        <v>45680</v>
      </c>
      <c r="L23" s="1">
        <v>12</v>
      </c>
      <c r="M23" s="1">
        <v>2820</v>
      </c>
      <c r="N23" s="9">
        <f t="shared" si="0"/>
        <v>0.05</v>
      </c>
      <c r="O23" s="1">
        <f t="shared" si="1"/>
        <v>7800</v>
      </c>
      <c r="P23" s="26">
        <f t="shared" si="2"/>
        <v>10620</v>
      </c>
      <c r="Q23" s="1" t="str">
        <f t="shared" si="3"/>
        <v>VIP</v>
      </c>
      <c r="V23" s="8">
        <f t="shared" si="4"/>
        <v>13</v>
      </c>
    </row>
    <row r="24" spans="1:22" x14ac:dyDescent="0.35">
      <c r="A24" s="1">
        <v>23</v>
      </c>
      <c r="B24" s="3" t="s">
        <v>101</v>
      </c>
      <c r="C24" s="3" t="s">
        <v>102</v>
      </c>
      <c r="D24" s="3" t="s">
        <v>103</v>
      </c>
      <c r="E24" s="3" t="s">
        <v>50</v>
      </c>
      <c r="F24" s="3" t="s">
        <v>27</v>
      </c>
      <c r="G24" s="3" t="s">
        <v>46</v>
      </c>
      <c r="H24" s="1">
        <v>2019</v>
      </c>
      <c r="I24" s="1">
        <v>159000</v>
      </c>
      <c r="J24" s="1" t="s">
        <v>29</v>
      </c>
      <c r="K24" s="2">
        <v>45681</v>
      </c>
      <c r="L24" s="1">
        <v>12</v>
      </c>
      <c r="M24" s="1">
        <v>2880</v>
      </c>
      <c r="N24" s="9">
        <f t="shared" si="0"/>
        <v>0.06</v>
      </c>
      <c r="O24" s="1">
        <f t="shared" si="1"/>
        <v>9540</v>
      </c>
      <c r="P24" s="26">
        <f t="shared" si="2"/>
        <v>12420</v>
      </c>
      <c r="Q24" s="1" t="str">
        <f t="shared" si="3"/>
        <v>VIP</v>
      </c>
      <c r="V24" s="8">
        <f t="shared" si="4"/>
        <v>10</v>
      </c>
    </row>
    <row r="25" spans="1:22" x14ac:dyDescent="0.35">
      <c r="A25" s="1">
        <v>24</v>
      </c>
      <c r="B25" s="3" t="s">
        <v>104</v>
      </c>
      <c r="C25" s="3" t="s">
        <v>105</v>
      </c>
      <c r="D25" s="3" t="s">
        <v>106</v>
      </c>
      <c r="E25" s="3" t="s">
        <v>40</v>
      </c>
      <c r="F25" s="3" t="s">
        <v>34</v>
      </c>
      <c r="G25" s="3" t="s">
        <v>51</v>
      </c>
      <c r="H25" s="1">
        <v>2020</v>
      </c>
      <c r="I25" s="1">
        <v>162000</v>
      </c>
      <c r="J25" s="1" t="s">
        <v>36</v>
      </c>
      <c r="K25" s="2">
        <v>45682</v>
      </c>
      <c r="L25" s="1">
        <v>12</v>
      </c>
      <c r="M25" s="1">
        <v>2940</v>
      </c>
      <c r="N25" s="9">
        <f t="shared" si="0"/>
        <v>0.03</v>
      </c>
      <c r="O25" s="1">
        <f t="shared" si="1"/>
        <v>4860</v>
      </c>
      <c r="P25" s="26">
        <f t="shared" si="2"/>
        <v>7800</v>
      </c>
      <c r="Q25" s="1" t="str">
        <f t="shared" si="3"/>
        <v>VIP</v>
      </c>
      <c r="V25" s="8">
        <f t="shared" si="4"/>
        <v>17</v>
      </c>
    </row>
    <row r="26" spans="1:22" x14ac:dyDescent="0.35">
      <c r="A26" s="1">
        <v>25</v>
      </c>
      <c r="B26" s="3" t="s">
        <v>107</v>
      </c>
      <c r="C26" s="3" t="s">
        <v>108</v>
      </c>
      <c r="D26" s="3" t="s">
        <v>109</v>
      </c>
      <c r="E26" s="3" t="s">
        <v>45</v>
      </c>
      <c r="F26" s="3" t="s">
        <v>21</v>
      </c>
      <c r="G26" s="3" t="s">
        <v>22</v>
      </c>
      <c r="H26" s="1">
        <v>2021</v>
      </c>
      <c r="I26" s="1">
        <v>165000</v>
      </c>
      <c r="J26" s="1" t="s">
        <v>23</v>
      </c>
      <c r="K26" s="2">
        <v>45683</v>
      </c>
      <c r="L26" s="1">
        <v>12</v>
      </c>
      <c r="M26" s="1">
        <v>3000</v>
      </c>
      <c r="N26" s="9">
        <f t="shared" si="0"/>
        <v>0.05</v>
      </c>
      <c r="O26" s="1">
        <f t="shared" si="1"/>
        <v>8250</v>
      </c>
      <c r="P26" s="26">
        <f t="shared" si="2"/>
        <v>11250</v>
      </c>
      <c r="Q26" s="1" t="str">
        <f t="shared" si="3"/>
        <v>VIP</v>
      </c>
      <c r="V26" s="8">
        <f t="shared" si="4"/>
        <v>11</v>
      </c>
    </row>
    <row r="27" spans="1:22" x14ac:dyDescent="0.35">
      <c r="A27" s="1">
        <v>26</v>
      </c>
      <c r="B27" s="3" t="s">
        <v>110</v>
      </c>
      <c r="C27" s="3" t="s">
        <v>111</v>
      </c>
      <c r="D27" s="3" t="s">
        <v>112</v>
      </c>
      <c r="E27" s="3" t="s">
        <v>20</v>
      </c>
      <c r="F27" s="3" t="s">
        <v>27</v>
      </c>
      <c r="G27" s="3" t="s">
        <v>28</v>
      </c>
      <c r="H27" s="1">
        <v>2022</v>
      </c>
      <c r="I27" s="1">
        <v>168000</v>
      </c>
      <c r="J27" s="1" t="s">
        <v>29</v>
      </c>
      <c r="K27" s="2">
        <v>45684</v>
      </c>
      <c r="L27" s="1">
        <v>12</v>
      </c>
      <c r="M27" s="1">
        <v>3060</v>
      </c>
      <c r="N27" s="9">
        <f t="shared" si="0"/>
        <v>0.06</v>
      </c>
      <c r="O27" s="1">
        <f t="shared" si="1"/>
        <v>10080</v>
      </c>
      <c r="P27" s="26">
        <f t="shared" si="2"/>
        <v>13140</v>
      </c>
      <c r="Q27" s="1" t="str">
        <f t="shared" si="3"/>
        <v>VIP</v>
      </c>
      <c r="V27" s="8">
        <f t="shared" si="4"/>
        <v>7</v>
      </c>
    </row>
    <row r="28" spans="1:22" x14ac:dyDescent="0.35">
      <c r="A28" s="1">
        <v>27</v>
      </c>
      <c r="B28" s="3" t="s">
        <v>113</v>
      </c>
      <c r="C28" s="3" t="s">
        <v>114</v>
      </c>
      <c r="D28" s="3" t="s">
        <v>115</v>
      </c>
      <c r="E28" s="3" t="s">
        <v>50</v>
      </c>
      <c r="F28" s="3" t="s">
        <v>34</v>
      </c>
      <c r="G28" s="3" t="s">
        <v>35</v>
      </c>
      <c r="H28" s="1">
        <v>2023</v>
      </c>
      <c r="I28" s="1">
        <v>171000</v>
      </c>
      <c r="J28" s="1" t="s">
        <v>36</v>
      </c>
      <c r="K28" s="2">
        <v>45685</v>
      </c>
      <c r="L28" s="1">
        <v>12</v>
      </c>
      <c r="M28" s="1">
        <v>3120</v>
      </c>
      <c r="N28" s="9">
        <f t="shared" si="0"/>
        <v>0.03</v>
      </c>
      <c r="O28" s="1">
        <f t="shared" si="1"/>
        <v>5130</v>
      </c>
      <c r="P28" s="26">
        <f t="shared" si="2"/>
        <v>8250</v>
      </c>
      <c r="Q28" s="1" t="str">
        <f t="shared" si="3"/>
        <v>VIP</v>
      </c>
      <c r="V28" s="8">
        <f t="shared" si="4"/>
        <v>14</v>
      </c>
    </row>
    <row r="29" spans="1:22" x14ac:dyDescent="0.35">
      <c r="A29" s="1">
        <v>28</v>
      </c>
      <c r="B29" s="3" t="s">
        <v>116</v>
      </c>
      <c r="C29" s="3" t="s">
        <v>117</v>
      </c>
      <c r="D29" s="3" t="s">
        <v>118</v>
      </c>
      <c r="E29" s="3" t="s">
        <v>33</v>
      </c>
      <c r="F29" s="3" t="s">
        <v>21</v>
      </c>
      <c r="G29" s="3" t="s">
        <v>41</v>
      </c>
      <c r="H29" s="1">
        <v>2010</v>
      </c>
      <c r="I29" s="1">
        <v>174000</v>
      </c>
      <c r="J29" s="1" t="s">
        <v>23</v>
      </c>
      <c r="K29" s="2">
        <v>45658</v>
      </c>
      <c r="L29" s="1">
        <v>12</v>
      </c>
      <c r="M29" s="1">
        <v>3180</v>
      </c>
      <c r="N29" s="9">
        <f t="shared" si="0"/>
        <v>0.05</v>
      </c>
      <c r="O29" s="1">
        <f t="shared" si="1"/>
        <v>8700</v>
      </c>
      <c r="P29" s="26">
        <f t="shared" si="2"/>
        <v>11880</v>
      </c>
      <c r="Q29" s="1" t="str">
        <f t="shared" si="3"/>
        <v>VIP</v>
      </c>
      <c r="V29" s="8">
        <f t="shared" si="4"/>
        <v>9</v>
      </c>
    </row>
    <row r="30" spans="1:22" x14ac:dyDescent="0.35">
      <c r="A30" s="1">
        <v>29</v>
      </c>
      <c r="B30" s="3" t="s">
        <v>119</v>
      </c>
      <c r="C30" s="3" t="s">
        <v>120</v>
      </c>
      <c r="D30" s="3" t="s">
        <v>121</v>
      </c>
      <c r="E30" s="3" t="s">
        <v>40</v>
      </c>
      <c r="F30" s="3" t="s">
        <v>27</v>
      </c>
      <c r="G30" s="3" t="s">
        <v>46</v>
      </c>
      <c r="H30" s="1">
        <v>2011</v>
      </c>
      <c r="I30" s="1">
        <v>177000</v>
      </c>
      <c r="J30" s="1" t="s">
        <v>29</v>
      </c>
      <c r="K30" s="2">
        <v>45659</v>
      </c>
      <c r="L30" s="1">
        <v>12</v>
      </c>
      <c r="M30" s="1">
        <v>3240</v>
      </c>
      <c r="N30" s="9">
        <f t="shared" si="0"/>
        <v>0.06</v>
      </c>
      <c r="O30" s="1">
        <f t="shared" si="1"/>
        <v>10620</v>
      </c>
      <c r="P30" s="26">
        <f t="shared" si="2"/>
        <v>13860</v>
      </c>
      <c r="Q30" s="1" t="str">
        <f t="shared" si="3"/>
        <v>VIP</v>
      </c>
      <c r="V30" s="8">
        <f t="shared" si="4"/>
        <v>5</v>
      </c>
    </row>
    <row r="31" spans="1:22" x14ac:dyDescent="0.35">
      <c r="A31" s="1">
        <v>30</v>
      </c>
      <c r="B31" s="3" t="s">
        <v>122</v>
      </c>
      <c r="C31" s="3" t="s">
        <v>123</v>
      </c>
      <c r="D31" s="3" t="s">
        <v>124</v>
      </c>
      <c r="E31" s="3" t="s">
        <v>45</v>
      </c>
      <c r="F31" s="3" t="s">
        <v>34</v>
      </c>
      <c r="G31" s="3" t="s">
        <v>51</v>
      </c>
      <c r="H31" s="1">
        <v>2012</v>
      </c>
      <c r="I31" s="1">
        <v>180000</v>
      </c>
      <c r="J31" s="1" t="s">
        <v>36</v>
      </c>
      <c r="K31" s="2">
        <v>45660</v>
      </c>
      <c r="L31" s="1">
        <v>12</v>
      </c>
      <c r="M31" s="1">
        <v>3300</v>
      </c>
      <c r="N31" s="9">
        <f t="shared" si="0"/>
        <v>0.03</v>
      </c>
      <c r="O31" s="1">
        <f t="shared" si="1"/>
        <v>5400</v>
      </c>
      <c r="P31" s="26">
        <f t="shared" si="2"/>
        <v>8700</v>
      </c>
      <c r="Q31" s="1" t="str">
        <f t="shared" si="3"/>
        <v>VIP</v>
      </c>
      <c r="V31" s="8">
        <f t="shared" si="4"/>
        <v>11</v>
      </c>
    </row>
    <row r="32" spans="1:22" x14ac:dyDescent="0.35">
      <c r="A32" s="1">
        <v>31</v>
      </c>
      <c r="B32" s="3" t="s">
        <v>125</v>
      </c>
      <c r="C32" s="3" t="s">
        <v>126</v>
      </c>
      <c r="D32" s="3" t="s">
        <v>127</v>
      </c>
      <c r="E32" s="3" t="s">
        <v>50</v>
      </c>
      <c r="F32" s="3" t="s">
        <v>21</v>
      </c>
      <c r="G32" s="3" t="s">
        <v>22</v>
      </c>
      <c r="H32" s="1">
        <v>2013</v>
      </c>
      <c r="I32" s="1">
        <v>183000</v>
      </c>
      <c r="J32" s="1" t="s">
        <v>23</v>
      </c>
      <c r="K32" s="2">
        <v>45661</v>
      </c>
      <c r="L32" s="1">
        <v>12</v>
      </c>
      <c r="M32" s="1">
        <v>3360</v>
      </c>
      <c r="N32" s="9">
        <f t="shared" si="0"/>
        <v>0.05</v>
      </c>
      <c r="O32" s="1">
        <f t="shared" si="1"/>
        <v>9150</v>
      </c>
      <c r="P32" s="26">
        <f t="shared" si="2"/>
        <v>12510</v>
      </c>
      <c r="Q32" s="1" t="str">
        <f t="shared" si="3"/>
        <v>VIP</v>
      </c>
      <c r="V32" s="8">
        <f t="shared" si="4"/>
        <v>7</v>
      </c>
    </row>
    <row r="33" spans="1:22" x14ac:dyDescent="0.35">
      <c r="A33" s="1">
        <v>32</v>
      </c>
      <c r="B33" s="3" t="s">
        <v>128</v>
      </c>
      <c r="C33" s="3" t="s">
        <v>129</v>
      </c>
      <c r="D33" s="3" t="s">
        <v>130</v>
      </c>
      <c r="E33" s="3" t="s">
        <v>33</v>
      </c>
      <c r="F33" s="3" t="s">
        <v>27</v>
      </c>
      <c r="G33" s="3" t="s">
        <v>28</v>
      </c>
      <c r="H33" s="1">
        <v>2014</v>
      </c>
      <c r="I33" s="1">
        <v>186000</v>
      </c>
      <c r="J33" s="1" t="s">
        <v>29</v>
      </c>
      <c r="K33" s="2">
        <v>45662</v>
      </c>
      <c r="L33" s="1">
        <v>12</v>
      </c>
      <c r="M33" s="1">
        <v>3420</v>
      </c>
      <c r="N33" s="9">
        <f t="shared" si="0"/>
        <v>0.06</v>
      </c>
      <c r="O33" s="1">
        <f t="shared" si="1"/>
        <v>11160</v>
      </c>
      <c r="P33" s="26">
        <f t="shared" si="2"/>
        <v>14580</v>
      </c>
      <c r="Q33" s="1" t="str">
        <f t="shared" si="3"/>
        <v>VIP</v>
      </c>
      <c r="V33" s="8">
        <f t="shared" si="4"/>
        <v>3</v>
      </c>
    </row>
    <row r="34" spans="1:22" x14ac:dyDescent="0.35">
      <c r="A34" s="1">
        <v>33</v>
      </c>
      <c r="B34" s="3" t="s">
        <v>131</v>
      </c>
      <c r="C34" s="3" t="s">
        <v>132</v>
      </c>
      <c r="D34" s="3" t="s">
        <v>133</v>
      </c>
      <c r="E34" s="3" t="s">
        <v>40</v>
      </c>
      <c r="F34" s="3" t="s">
        <v>34</v>
      </c>
      <c r="G34" s="3" t="s">
        <v>35</v>
      </c>
      <c r="H34" s="1">
        <v>2015</v>
      </c>
      <c r="I34" s="1">
        <v>189000</v>
      </c>
      <c r="J34" s="1" t="s">
        <v>36</v>
      </c>
      <c r="K34" s="2">
        <v>45663</v>
      </c>
      <c r="L34" s="1">
        <v>12</v>
      </c>
      <c r="M34" s="1">
        <v>3480</v>
      </c>
      <c r="N34" s="9">
        <f t="shared" si="0"/>
        <v>0.03</v>
      </c>
      <c r="O34" s="1">
        <f t="shared" si="1"/>
        <v>5670</v>
      </c>
      <c r="P34" s="26">
        <f t="shared" si="2"/>
        <v>9150</v>
      </c>
      <c r="Q34" s="1" t="str">
        <f t="shared" si="3"/>
        <v>VIP</v>
      </c>
      <c r="V34" s="8">
        <f t="shared" si="4"/>
        <v>8</v>
      </c>
    </row>
    <row r="35" spans="1:22" x14ac:dyDescent="0.35">
      <c r="A35" s="1">
        <v>34</v>
      </c>
      <c r="B35" s="3" t="s">
        <v>134</v>
      </c>
      <c r="C35" s="3" t="s">
        <v>135</v>
      </c>
      <c r="D35" s="3" t="s">
        <v>136</v>
      </c>
      <c r="E35" s="3" t="s">
        <v>45</v>
      </c>
      <c r="F35" s="3" t="s">
        <v>21</v>
      </c>
      <c r="G35" s="3" t="s">
        <v>41</v>
      </c>
      <c r="H35" s="1">
        <v>2016</v>
      </c>
      <c r="I35" s="1">
        <v>192000</v>
      </c>
      <c r="J35" s="1" t="s">
        <v>23</v>
      </c>
      <c r="K35" s="2">
        <v>45664</v>
      </c>
      <c r="L35" s="1">
        <v>12</v>
      </c>
      <c r="M35" s="1">
        <v>3540</v>
      </c>
      <c r="N35" s="9">
        <f t="shared" si="0"/>
        <v>0.05</v>
      </c>
      <c r="O35" s="1">
        <f t="shared" si="1"/>
        <v>9600</v>
      </c>
      <c r="P35" s="26">
        <f t="shared" si="2"/>
        <v>13140</v>
      </c>
      <c r="Q35" s="1" t="str">
        <f t="shared" si="3"/>
        <v>VIP</v>
      </c>
      <c r="V35" s="8">
        <f t="shared" si="4"/>
        <v>5</v>
      </c>
    </row>
    <row r="36" spans="1:22" x14ac:dyDescent="0.35">
      <c r="A36" s="1">
        <v>35</v>
      </c>
      <c r="B36" s="3" t="s">
        <v>137</v>
      </c>
      <c r="C36" s="3" t="s">
        <v>138</v>
      </c>
      <c r="D36" s="3" t="s">
        <v>139</v>
      </c>
      <c r="E36" s="3" t="s">
        <v>20</v>
      </c>
      <c r="F36" s="3" t="s">
        <v>27</v>
      </c>
      <c r="G36" s="3" t="s">
        <v>46</v>
      </c>
      <c r="H36" s="1">
        <v>2017</v>
      </c>
      <c r="I36" s="1">
        <v>195000</v>
      </c>
      <c r="J36" s="1" t="s">
        <v>29</v>
      </c>
      <c r="K36" s="2">
        <v>45665</v>
      </c>
      <c r="L36" s="1">
        <v>12</v>
      </c>
      <c r="M36" s="1">
        <v>3600</v>
      </c>
      <c r="N36" s="9">
        <f t="shared" si="0"/>
        <v>0.06</v>
      </c>
      <c r="O36" s="1">
        <f t="shared" si="1"/>
        <v>11700</v>
      </c>
      <c r="P36" s="26">
        <f t="shared" si="2"/>
        <v>15300</v>
      </c>
      <c r="Q36" s="1" t="str">
        <f t="shared" si="3"/>
        <v>VIP</v>
      </c>
      <c r="V36" s="8">
        <f t="shared" si="4"/>
        <v>2</v>
      </c>
    </row>
    <row r="37" spans="1:22" x14ac:dyDescent="0.35">
      <c r="A37" s="1">
        <v>36</v>
      </c>
      <c r="B37" s="3" t="s">
        <v>140</v>
      </c>
      <c r="C37" s="3" t="s">
        <v>141</v>
      </c>
      <c r="D37" s="3" t="s">
        <v>142</v>
      </c>
      <c r="E37" s="3" t="s">
        <v>50</v>
      </c>
      <c r="F37" s="3" t="s">
        <v>34</v>
      </c>
      <c r="G37" s="3" t="s">
        <v>51</v>
      </c>
      <c r="H37" s="1">
        <v>2018</v>
      </c>
      <c r="I37" s="1">
        <v>198000</v>
      </c>
      <c r="J37" s="1" t="s">
        <v>36</v>
      </c>
      <c r="K37" s="2">
        <v>45666</v>
      </c>
      <c r="L37" s="1">
        <v>12</v>
      </c>
      <c r="M37" s="1">
        <v>3660</v>
      </c>
      <c r="N37" s="9">
        <f t="shared" si="0"/>
        <v>0.03</v>
      </c>
      <c r="O37" s="1">
        <f t="shared" si="1"/>
        <v>5940</v>
      </c>
      <c r="P37" s="26">
        <f t="shared" si="2"/>
        <v>9600</v>
      </c>
      <c r="Q37" s="1" t="str">
        <f t="shared" si="3"/>
        <v>VIP</v>
      </c>
      <c r="V37" s="8">
        <f t="shared" si="4"/>
        <v>5</v>
      </c>
    </row>
    <row r="38" spans="1:22" x14ac:dyDescent="0.35">
      <c r="A38" s="1">
        <v>37</v>
      </c>
      <c r="B38" s="3" t="s">
        <v>143</v>
      </c>
      <c r="C38" s="3" t="s">
        <v>144</v>
      </c>
      <c r="D38" s="3" t="s">
        <v>145</v>
      </c>
      <c r="E38" s="3" t="s">
        <v>33</v>
      </c>
      <c r="F38" s="3" t="s">
        <v>21</v>
      </c>
      <c r="G38" s="3" t="s">
        <v>22</v>
      </c>
      <c r="H38" s="1">
        <v>2019</v>
      </c>
      <c r="I38" s="1">
        <v>201000</v>
      </c>
      <c r="J38" s="1" t="s">
        <v>23</v>
      </c>
      <c r="K38" s="2">
        <v>45667</v>
      </c>
      <c r="L38" s="1">
        <v>12</v>
      </c>
      <c r="M38" s="1">
        <v>3720</v>
      </c>
      <c r="N38" s="9">
        <f t="shared" si="0"/>
        <v>0.05</v>
      </c>
      <c r="O38" s="1">
        <f t="shared" si="1"/>
        <v>10050</v>
      </c>
      <c r="P38" s="26">
        <f t="shared" si="2"/>
        <v>13770</v>
      </c>
      <c r="Q38" s="1" t="str">
        <f t="shared" si="3"/>
        <v>VIP</v>
      </c>
      <c r="V38" s="8">
        <f t="shared" si="4"/>
        <v>3</v>
      </c>
    </row>
    <row r="39" spans="1:22" x14ac:dyDescent="0.35">
      <c r="A39" s="1">
        <v>38</v>
      </c>
      <c r="B39" s="3" t="s">
        <v>146</v>
      </c>
      <c r="C39" s="3" t="s">
        <v>147</v>
      </c>
      <c r="D39" s="3" t="s">
        <v>148</v>
      </c>
      <c r="E39" s="3" t="s">
        <v>40</v>
      </c>
      <c r="F39" s="3" t="s">
        <v>27</v>
      </c>
      <c r="G39" s="3" t="s">
        <v>28</v>
      </c>
      <c r="H39" s="1">
        <v>2020</v>
      </c>
      <c r="I39" s="1">
        <v>204000</v>
      </c>
      <c r="J39" s="1" t="s">
        <v>29</v>
      </c>
      <c r="K39" s="2">
        <v>45668</v>
      </c>
      <c r="L39" s="1">
        <v>12</v>
      </c>
      <c r="M39" s="1">
        <v>3780</v>
      </c>
      <c r="N39" s="9">
        <f t="shared" si="0"/>
        <v>0.06</v>
      </c>
      <c r="O39" s="1">
        <f t="shared" si="1"/>
        <v>12240</v>
      </c>
      <c r="P39" s="26">
        <f t="shared" si="2"/>
        <v>16020</v>
      </c>
      <c r="Q39" s="1" t="str">
        <f t="shared" si="3"/>
        <v>VIP</v>
      </c>
      <c r="V39" s="8">
        <f t="shared" si="4"/>
        <v>1</v>
      </c>
    </row>
    <row r="40" spans="1:22" x14ac:dyDescent="0.35">
      <c r="A40" s="1">
        <v>39</v>
      </c>
      <c r="B40" s="3" t="s">
        <v>149</v>
      </c>
      <c r="C40" s="3" t="s">
        <v>150</v>
      </c>
      <c r="D40" s="3" t="s">
        <v>151</v>
      </c>
      <c r="E40" s="3" t="s">
        <v>45</v>
      </c>
      <c r="F40" s="3" t="s">
        <v>34</v>
      </c>
      <c r="G40" s="3" t="s">
        <v>35</v>
      </c>
      <c r="H40" s="1">
        <v>2021</v>
      </c>
      <c r="I40" s="1">
        <v>207000</v>
      </c>
      <c r="J40" s="1" t="s">
        <v>36</v>
      </c>
      <c r="K40" s="2">
        <v>45669</v>
      </c>
      <c r="L40" s="1">
        <v>12</v>
      </c>
      <c r="M40" s="1">
        <v>3840</v>
      </c>
      <c r="N40" s="9">
        <f t="shared" si="0"/>
        <v>0.03</v>
      </c>
      <c r="O40" s="1">
        <f t="shared" si="1"/>
        <v>6210</v>
      </c>
      <c r="P40" s="26">
        <f t="shared" si="2"/>
        <v>10050</v>
      </c>
      <c r="Q40" s="1" t="str">
        <f t="shared" si="3"/>
        <v>VIP</v>
      </c>
      <c r="V40" s="8">
        <f t="shared" si="4"/>
        <v>2</v>
      </c>
    </row>
    <row r="41" spans="1:22" x14ac:dyDescent="0.35">
      <c r="A41" s="1">
        <v>40</v>
      </c>
      <c r="B41" s="3" t="s">
        <v>152</v>
      </c>
      <c r="C41" s="3" t="s">
        <v>153</v>
      </c>
      <c r="D41" s="3" t="s">
        <v>154</v>
      </c>
      <c r="E41" s="3" t="s">
        <v>20</v>
      </c>
      <c r="F41" s="3" t="s">
        <v>21</v>
      </c>
      <c r="G41" s="3" t="s">
        <v>41</v>
      </c>
      <c r="H41" s="1">
        <v>2022</v>
      </c>
      <c r="I41" s="1">
        <v>210000</v>
      </c>
      <c r="J41" s="1" t="s">
        <v>23</v>
      </c>
      <c r="K41" s="2">
        <v>45670</v>
      </c>
      <c r="L41" s="1">
        <v>12</v>
      </c>
      <c r="M41" s="1">
        <v>3900</v>
      </c>
      <c r="N41" s="9">
        <f t="shared" si="0"/>
        <v>0.05</v>
      </c>
      <c r="O41" s="1">
        <f t="shared" si="1"/>
        <v>10500</v>
      </c>
      <c r="P41" s="26">
        <f t="shared" si="2"/>
        <v>14400</v>
      </c>
      <c r="Q41" s="1" t="str">
        <f t="shared" si="3"/>
        <v>VIP</v>
      </c>
      <c r="V41" s="8">
        <f>RANK(P41,P41:P80,0)</f>
        <v>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03EE-8338-4EDC-8E74-C626D2346CFE}">
  <dimension ref="A1:B45"/>
  <sheetViews>
    <sheetView topLeftCell="A29" workbookViewId="0">
      <selection activeCell="B40" sqref="B40"/>
    </sheetView>
  </sheetViews>
  <sheetFormatPr baseColWidth="10" defaultRowHeight="14.5" x14ac:dyDescent="0.35"/>
  <cols>
    <col min="1" max="1" width="19.54296875" bestFit="1" customWidth="1"/>
    <col min="2" max="2" width="21.453125" bestFit="1" customWidth="1"/>
  </cols>
  <sheetData>
    <row r="1" spans="1:2" x14ac:dyDescent="0.35">
      <c r="A1" s="29" t="s">
        <v>160</v>
      </c>
      <c r="B1" s="29"/>
    </row>
    <row r="2" spans="1:2" x14ac:dyDescent="0.35">
      <c r="A2" s="13" t="s">
        <v>169</v>
      </c>
      <c r="B2" s="8" t="s">
        <v>161</v>
      </c>
    </row>
    <row r="3" spans="1:2" x14ac:dyDescent="0.35">
      <c r="A3" s="3" t="s">
        <v>36</v>
      </c>
      <c r="B3" s="14">
        <v>95550</v>
      </c>
    </row>
    <row r="4" spans="1:2" x14ac:dyDescent="0.35">
      <c r="A4" s="3" t="s">
        <v>23</v>
      </c>
      <c r="B4" s="14">
        <v>144270</v>
      </c>
    </row>
    <row r="5" spans="1:2" x14ac:dyDescent="0.35">
      <c r="A5" s="3" t="s">
        <v>29</v>
      </c>
      <c r="B5" s="14">
        <v>152100</v>
      </c>
    </row>
    <row r="6" spans="1:2" x14ac:dyDescent="0.35">
      <c r="A6" s="3" t="s">
        <v>170</v>
      </c>
      <c r="B6" s="14">
        <v>391920</v>
      </c>
    </row>
    <row r="8" spans="1:2" x14ac:dyDescent="0.35">
      <c r="A8" s="29" t="s">
        <v>162</v>
      </c>
      <c r="B8" s="29"/>
    </row>
    <row r="9" spans="1:2" x14ac:dyDescent="0.35">
      <c r="A9" s="13" t="s">
        <v>169</v>
      </c>
      <c r="B9" s="8" t="s">
        <v>163</v>
      </c>
    </row>
    <row r="10" spans="1:2" x14ac:dyDescent="0.35">
      <c r="A10" s="3" t="s">
        <v>50</v>
      </c>
      <c r="B10" s="14">
        <v>166</v>
      </c>
    </row>
    <row r="11" spans="1:2" x14ac:dyDescent="0.35">
      <c r="A11" s="3" t="s">
        <v>45</v>
      </c>
      <c r="B11" s="14">
        <v>179</v>
      </c>
    </row>
    <row r="12" spans="1:2" x14ac:dyDescent="0.35">
      <c r="A12" s="3" t="s">
        <v>58</v>
      </c>
      <c r="B12" s="14">
        <v>8</v>
      </c>
    </row>
    <row r="13" spans="1:2" x14ac:dyDescent="0.35">
      <c r="A13" s="3" t="s">
        <v>33</v>
      </c>
      <c r="B13" s="14">
        <v>158</v>
      </c>
    </row>
    <row r="14" spans="1:2" x14ac:dyDescent="0.35">
      <c r="A14" s="3" t="s">
        <v>20</v>
      </c>
      <c r="B14" s="14">
        <v>135</v>
      </c>
    </row>
    <row r="15" spans="1:2" x14ac:dyDescent="0.35">
      <c r="A15" s="3" t="s">
        <v>40</v>
      </c>
      <c r="B15" s="14">
        <v>174</v>
      </c>
    </row>
    <row r="16" spans="1:2" x14ac:dyDescent="0.35">
      <c r="A16" s="3" t="s">
        <v>170</v>
      </c>
      <c r="B16" s="14">
        <v>820</v>
      </c>
    </row>
    <row r="18" spans="1:2" x14ac:dyDescent="0.35">
      <c r="A18" s="29" t="s">
        <v>164</v>
      </c>
      <c r="B18" s="29"/>
    </row>
    <row r="19" spans="1:2" x14ac:dyDescent="0.35">
      <c r="A19" s="15" t="s">
        <v>169</v>
      </c>
      <c r="B19" s="15" t="s">
        <v>165</v>
      </c>
    </row>
    <row r="20" spans="1:2" x14ac:dyDescent="0.35">
      <c r="A20" s="22" t="s">
        <v>27</v>
      </c>
      <c r="B20" s="16">
        <v>11700</v>
      </c>
    </row>
    <row r="21" spans="1:2" x14ac:dyDescent="0.35">
      <c r="A21" s="22" t="s">
        <v>21</v>
      </c>
      <c r="B21" s="16">
        <v>10305</v>
      </c>
    </row>
    <row r="22" spans="1:2" x14ac:dyDescent="0.35">
      <c r="A22" s="22" t="s">
        <v>34</v>
      </c>
      <c r="B22" s="16">
        <v>7350</v>
      </c>
    </row>
    <row r="23" spans="1:2" x14ac:dyDescent="0.35">
      <c r="A23" s="22" t="s">
        <v>170</v>
      </c>
      <c r="B23" s="16">
        <v>9798</v>
      </c>
    </row>
    <row r="25" spans="1:2" x14ac:dyDescent="0.35">
      <c r="A25" s="30" t="s">
        <v>166</v>
      </c>
      <c r="B25" s="30"/>
    </row>
    <row r="26" spans="1:2" x14ac:dyDescent="0.35">
      <c r="A26" s="19" t="s">
        <v>169</v>
      </c>
      <c r="B26" s="19" t="s">
        <v>163</v>
      </c>
    </row>
    <row r="27" spans="1:2" x14ac:dyDescent="0.35">
      <c r="A27" s="20" t="s">
        <v>167</v>
      </c>
      <c r="B27" s="21">
        <v>3</v>
      </c>
    </row>
    <row r="28" spans="1:2" x14ac:dyDescent="0.35">
      <c r="A28" s="20" t="s">
        <v>168</v>
      </c>
      <c r="B28" s="21">
        <v>817</v>
      </c>
    </row>
    <row r="29" spans="1:2" x14ac:dyDescent="0.35">
      <c r="A29" s="20" t="s">
        <v>170</v>
      </c>
      <c r="B29" s="21">
        <v>820</v>
      </c>
    </row>
    <row r="31" spans="1:2" x14ac:dyDescent="0.35">
      <c r="A31" s="29" t="s">
        <v>171</v>
      </c>
      <c r="B31" s="29"/>
    </row>
    <row r="32" spans="1:2" x14ac:dyDescent="0.35">
      <c r="A32" s="15" t="s">
        <v>169</v>
      </c>
      <c r="B32" s="15" t="s">
        <v>161</v>
      </c>
    </row>
    <row r="33" spans="1:2" x14ac:dyDescent="0.35">
      <c r="A33" s="18" t="s">
        <v>172</v>
      </c>
      <c r="B33" s="16">
        <v>391920</v>
      </c>
    </row>
    <row r="34" spans="1:2" x14ac:dyDescent="0.35">
      <c r="A34" s="18" t="s">
        <v>170</v>
      </c>
      <c r="B34" s="16">
        <v>391920</v>
      </c>
    </row>
    <row r="38" spans="1:2" x14ac:dyDescent="0.35">
      <c r="A38" s="28" t="s">
        <v>173</v>
      </c>
      <c r="B38" s="28"/>
    </row>
    <row r="39" spans="1:2" x14ac:dyDescent="0.35">
      <c r="A39" s="12" t="s">
        <v>169</v>
      </c>
      <c r="B39" s="12" t="s">
        <v>161</v>
      </c>
    </row>
    <row r="40" spans="1:2" x14ac:dyDescent="0.35">
      <c r="A40" s="23" t="s">
        <v>146</v>
      </c>
      <c r="B40" s="17">
        <v>16020</v>
      </c>
    </row>
    <row r="41" spans="1:2" x14ac:dyDescent="0.35">
      <c r="A41" s="23" t="s">
        <v>137</v>
      </c>
      <c r="B41" s="17">
        <v>15300</v>
      </c>
    </row>
    <row r="42" spans="1:2" x14ac:dyDescent="0.35">
      <c r="A42" s="23" t="s">
        <v>128</v>
      </c>
      <c r="B42" s="17">
        <v>14580</v>
      </c>
    </row>
    <row r="43" spans="1:2" x14ac:dyDescent="0.35">
      <c r="A43" s="23" t="s">
        <v>152</v>
      </c>
      <c r="B43" s="17">
        <v>14400</v>
      </c>
    </row>
    <row r="44" spans="1:2" x14ac:dyDescent="0.35">
      <c r="A44" s="23" t="s">
        <v>119</v>
      </c>
      <c r="B44" s="17">
        <v>13860</v>
      </c>
    </row>
    <row r="45" spans="1:2" x14ac:dyDescent="0.35">
      <c r="A45" s="23" t="s">
        <v>170</v>
      </c>
      <c r="B45" s="17">
        <v>74160</v>
      </c>
    </row>
  </sheetData>
  <mergeCells count="6">
    <mergeCell ref="A38:B38"/>
    <mergeCell ref="A18:B18"/>
    <mergeCell ref="A8:B8"/>
    <mergeCell ref="A1:B1"/>
    <mergeCell ref="A25:B25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11FF-8E76-4D4C-B1C5-60AF8D706E5B}">
  <dimension ref="A1:AY1367"/>
  <sheetViews>
    <sheetView showGridLines="0" topLeftCell="A2" workbookViewId="0">
      <selection activeCell="Q6" sqref="Q6"/>
    </sheetView>
  </sheetViews>
  <sheetFormatPr baseColWidth="10" defaultRowHeight="14.5" x14ac:dyDescent="0.35"/>
  <sheetData>
    <row r="1" spans="1:51" s="24" customFormat="1" ht="28" customHeight="1" x14ac:dyDescent="0.35"/>
    <row r="2" spans="1:51" s="24" customFormat="1" ht="21.5" customHeight="1" x14ac:dyDescent="0.35"/>
    <row r="3" spans="1:51" x14ac:dyDescent="0.3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</row>
    <row r="4" spans="1:51" x14ac:dyDescent="0.3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</row>
    <row r="5" spans="1:51" x14ac:dyDescent="0.3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</row>
    <row r="6" spans="1:51" x14ac:dyDescent="0.3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</row>
    <row r="7" spans="1:51" x14ac:dyDescent="0.3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</row>
    <row r="8" spans="1:51" x14ac:dyDescent="0.3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</row>
    <row r="9" spans="1:51" x14ac:dyDescent="0.3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</row>
    <row r="10" spans="1:51" x14ac:dyDescent="0.3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</row>
    <row r="11" spans="1:51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</row>
    <row r="12" spans="1:51" x14ac:dyDescent="0.3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</row>
    <row r="13" spans="1:51" x14ac:dyDescent="0.3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</row>
    <row r="14" spans="1:51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</row>
    <row r="15" spans="1:51" x14ac:dyDescent="0.3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</row>
    <row r="16" spans="1:51" x14ac:dyDescent="0.3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</row>
    <row r="17" spans="1:51" x14ac:dyDescent="0.3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</row>
    <row r="18" spans="1:51" x14ac:dyDescent="0.3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</row>
    <row r="19" spans="1:51" x14ac:dyDescent="0.3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</row>
    <row r="20" spans="1:51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</row>
    <row r="21" spans="1:51" x14ac:dyDescent="0.3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</row>
    <row r="22" spans="1:51" x14ac:dyDescent="0.3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</row>
    <row r="23" spans="1:51" x14ac:dyDescent="0.3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</row>
    <row r="24" spans="1:51" x14ac:dyDescent="0.3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</row>
    <row r="25" spans="1:51" x14ac:dyDescent="0.3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</row>
    <row r="26" spans="1:51" x14ac:dyDescent="0.3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</row>
    <row r="27" spans="1:51" x14ac:dyDescent="0.3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</row>
    <row r="28" spans="1:51" x14ac:dyDescent="0.3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</row>
    <row r="29" spans="1:51" x14ac:dyDescent="0.3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</row>
    <row r="30" spans="1:51" x14ac:dyDescent="0.3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</row>
    <row r="31" spans="1:51" x14ac:dyDescent="0.3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</row>
    <row r="32" spans="1:51" x14ac:dyDescent="0.3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</row>
    <row r="33" spans="1:51" x14ac:dyDescent="0.3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</row>
    <row r="34" spans="1:51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</row>
    <row r="35" spans="1:51" x14ac:dyDescent="0.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</row>
    <row r="36" spans="1:51" x14ac:dyDescent="0.3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</row>
    <row r="37" spans="1:51" x14ac:dyDescent="0.3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</row>
    <row r="38" spans="1:51" x14ac:dyDescent="0.3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</row>
    <row r="39" spans="1:51" x14ac:dyDescent="0.3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</row>
    <row r="40" spans="1:51" x14ac:dyDescent="0.3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</row>
    <row r="41" spans="1:51" x14ac:dyDescent="0.3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</row>
    <row r="42" spans="1:51" x14ac:dyDescent="0.3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</row>
    <row r="43" spans="1:51" x14ac:dyDescent="0.3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</row>
    <row r="44" spans="1:51" x14ac:dyDescent="0.3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</row>
    <row r="45" spans="1:51" x14ac:dyDescent="0.3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</row>
    <row r="46" spans="1:51" x14ac:dyDescent="0.3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</row>
    <row r="47" spans="1:51" x14ac:dyDescent="0.3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</row>
    <row r="48" spans="1:51" x14ac:dyDescent="0.3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</row>
    <row r="49" spans="1:51" x14ac:dyDescent="0.3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</row>
    <row r="50" spans="1:51" x14ac:dyDescent="0.3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</row>
    <row r="51" spans="1:51" x14ac:dyDescent="0.3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</row>
    <row r="52" spans="1:51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</row>
    <row r="53" spans="1:51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</row>
    <row r="54" spans="1:51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</row>
    <row r="55" spans="1:51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</row>
    <row r="56" spans="1:51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</row>
    <row r="57" spans="1:51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</row>
    <row r="58" spans="1:51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</row>
    <row r="59" spans="1:51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</row>
    <row r="60" spans="1:51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</row>
    <row r="61" spans="1:51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</row>
    <row r="62" spans="1:51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</row>
    <row r="63" spans="1:51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</row>
    <row r="64" spans="1:51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</row>
    <row r="65" spans="1:51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</row>
    <row r="66" spans="1:51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</row>
    <row r="67" spans="1:51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</row>
    <row r="68" spans="1:51" x14ac:dyDescent="0.3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</row>
    <row r="69" spans="1:51" x14ac:dyDescent="0.3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</row>
    <row r="70" spans="1:51" x14ac:dyDescent="0.3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</row>
    <row r="71" spans="1:51" x14ac:dyDescent="0.3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</row>
    <row r="72" spans="1:51" x14ac:dyDescent="0.3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</row>
    <row r="73" spans="1:51" x14ac:dyDescent="0.3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</row>
    <row r="74" spans="1:51" x14ac:dyDescent="0.3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</row>
    <row r="75" spans="1:51" x14ac:dyDescent="0.3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</row>
    <row r="76" spans="1:51" x14ac:dyDescent="0.3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</row>
    <row r="77" spans="1:51" x14ac:dyDescent="0.3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</row>
    <row r="78" spans="1:51" x14ac:dyDescent="0.3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</row>
    <row r="79" spans="1:51" x14ac:dyDescent="0.3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</row>
    <row r="80" spans="1:51" x14ac:dyDescent="0.3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</row>
    <row r="81" spans="1:51" x14ac:dyDescent="0.3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</row>
    <row r="82" spans="1:51" x14ac:dyDescent="0.3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</row>
    <row r="83" spans="1:51" x14ac:dyDescent="0.3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</row>
    <row r="84" spans="1:51" x14ac:dyDescent="0.3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</row>
    <row r="85" spans="1:51" x14ac:dyDescent="0.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</row>
    <row r="86" spans="1:51" x14ac:dyDescent="0.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</row>
    <row r="87" spans="1:51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</row>
    <row r="88" spans="1:51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</row>
    <row r="89" spans="1:51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</row>
    <row r="90" spans="1:51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</row>
    <row r="91" spans="1:51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</row>
    <row r="92" spans="1:51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</row>
    <row r="93" spans="1:51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</row>
    <row r="94" spans="1:51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</row>
    <row r="95" spans="1:51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</row>
    <row r="96" spans="1:51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</row>
    <row r="97" spans="1:51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</row>
    <row r="98" spans="1:51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</row>
    <row r="99" spans="1:51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</row>
    <row r="100" spans="1:51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</row>
    <row r="101" spans="1:51" x14ac:dyDescent="0.3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</row>
    <row r="102" spans="1:51" x14ac:dyDescent="0.3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</row>
    <row r="103" spans="1:51" x14ac:dyDescent="0.3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</row>
    <row r="104" spans="1:51" x14ac:dyDescent="0.3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</row>
    <row r="105" spans="1:51" x14ac:dyDescent="0.3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</row>
    <row r="106" spans="1:51" x14ac:dyDescent="0.3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</row>
    <row r="107" spans="1:51" x14ac:dyDescent="0.3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</row>
    <row r="108" spans="1:51" x14ac:dyDescent="0.3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</row>
    <row r="109" spans="1:51" x14ac:dyDescent="0.3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</row>
    <row r="110" spans="1:51" x14ac:dyDescent="0.3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</row>
    <row r="111" spans="1:51" x14ac:dyDescent="0.3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</row>
    <row r="112" spans="1:51" x14ac:dyDescent="0.3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</row>
    <row r="113" spans="1:51" x14ac:dyDescent="0.3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</row>
    <row r="114" spans="1:51" x14ac:dyDescent="0.3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</row>
    <row r="115" spans="1:51" x14ac:dyDescent="0.3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</row>
    <row r="116" spans="1:51" x14ac:dyDescent="0.3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</row>
    <row r="117" spans="1:51" x14ac:dyDescent="0.3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</row>
    <row r="118" spans="1:51" x14ac:dyDescent="0.3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</row>
    <row r="119" spans="1:51" x14ac:dyDescent="0.3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</row>
    <row r="120" spans="1:51" x14ac:dyDescent="0.3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</row>
    <row r="121" spans="1:51" x14ac:dyDescent="0.3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</row>
    <row r="122" spans="1:51" x14ac:dyDescent="0.3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</row>
    <row r="123" spans="1:51" x14ac:dyDescent="0.3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</row>
    <row r="124" spans="1:51" x14ac:dyDescent="0.3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</row>
    <row r="125" spans="1:51" x14ac:dyDescent="0.3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</row>
    <row r="126" spans="1:51" x14ac:dyDescent="0.3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</row>
    <row r="127" spans="1:51" x14ac:dyDescent="0.3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</row>
    <row r="128" spans="1:51" x14ac:dyDescent="0.3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</row>
    <row r="129" spans="1:51" x14ac:dyDescent="0.3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</row>
    <row r="130" spans="1:51" x14ac:dyDescent="0.3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</row>
    <row r="131" spans="1:51" x14ac:dyDescent="0.3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</row>
    <row r="132" spans="1:51" x14ac:dyDescent="0.3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</row>
    <row r="133" spans="1:51" x14ac:dyDescent="0.3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</row>
    <row r="134" spans="1:51" x14ac:dyDescent="0.3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</row>
    <row r="135" spans="1:51" x14ac:dyDescent="0.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</row>
    <row r="136" spans="1:51" x14ac:dyDescent="0.3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</row>
    <row r="137" spans="1:51" x14ac:dyDescent="0.3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</row>
    <row r="138" spans="1:51" x14ac:dyDescent="0.3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</row>
    <row r="139" spans="1:51" x14ac:dyDescent="0.3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</row>
    <row r="140" spans="1:51" x14ac:dyDescent="0.3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</row>
    <row r="141" spans="1:51" x14ac:dyDescent="0.3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</row>
    <row r="142" spans="1:51" x14ac:dyDescent="0.3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</row>
    <row r="143" spans="1:51" x14ac:dyDescent="0.3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</row>
    <row r="144" spans="1:51" x14ac:dyDescent="0.3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</row>
    <row r="145" spans="1:51" x14ac:dyDescent="0.3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</row>
    <row r="146" spans="1:51" x14ac:dyDescent="0.3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</row>
    <row r="147" spans="1:51" x14ac:dyDescent="0.3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</row>
    <row r="148" spans="1:51" x14ac:dyDescent="0.3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</row>
    <row r="149" spans="1:51" x14ac:dyDescent="0.3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</row>
    <row r="150" spans="1:51" x14ac:dyDescent="0.3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</row>
    <row r="151" spans="1:51" x14ac:dyDescent="0.3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</row>
    <row r="152" spans="1:51" x14ac:dyDescent="0.3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</row>
    <row r="153" spans="1:51" x14ac:dyDescent="0.3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</row>
    <row r="154" spans="1:51" x14ac:dyDescent="0.3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</row>
    <row r="155" spans="1:51" x14ac:dyDescent="0.3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</row>
    <row r="156" spans="1:51" x14ac:dyDescent="0.3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</row>
    <row r="157" spans="1:51" x14ac:dyDescent="0.3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</row>
    <row r="158" spans="1:51" x14ac:dyDescent="0.3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</row>
    <row r="159" spans="1:51" x14ac:dyDescent="0.3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</row>
    <row r="160" spans="1:51" x14ac:dyDescent="0.3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</row>
    <row r="161" spans="1:51" x14ac:dyDescent="0.3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</row>
    <row r="162" spans="1:51" x14ac:dyDescent="0.3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</row>
    <row r="163" spans="1:51" x14ac:dyDescent="0.3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</row>
    <row r="164" spans="1:51" x14ac:dyDescent="0.3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</row>
    <row r="165" spans="1:51" x14ac:dyDescent="0.3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</row>
    <row r="166" spans="1:51" x14ac:dyDescent="0.3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</row>
    <row r="167" spans="1:51" x14ac:dyDescent="0.3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</row>
    <row r="168" spans="1:51" x14ac:dyDescent="0.3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</row>
    <row r="169" spans="1:51" x14ac:dyDescent="0.3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</row>
    <row r="170" spans="1:51" x14ac:dyDescent="0.3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</row>
    <row r="171" spans="1:51" x14ac:dyDescent="0.3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</row>
    <row r="172" spans="1:51" x14ac:dyDescent="0.3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</row>
    <row r="173" spans="1:51" x14ac:dyDescent="0.3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</row>
    <row r="174" spans="1:51" x14ac:dyDescent="0.3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</row>
    <row r="175" spans="1:51" x14ac:dyDescent="0.3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</row>
    <row r="176" spans="1:51" x14ac:dyDescent="0.3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</row>
    <row r="177" spans="1:51" x14ac:dyDescent="0.3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</row>
    <row r="178" spans="1:51" x14ac:dyDescent="0.3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</row>
    <row r="179" spans="1:51" x14ac:dyDescent="0.3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</row>
    <row r="180" spans="1:51" x14ac:dyDescent="0.3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</row>
    <row r="181" spans="1:51" x14ac:dyDescent="0.3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</row>
    <row r="182" spans="1:51" x14ac:dyDescent="0.3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</row>
    <row r="183" spans="1:51" x14ac:dyDescent="0.3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</row>
    <row r="184" spans="1:51" x14ac:dyDescent="0.3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</row>
    <row r="185" spans="1:51" x14ac:dyDescent="0.3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</row>
    <row r="186" spans="1:51" x14ac:dyDescent="0.3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</row>
    <row r="187" spans="1:51" x14ac:dyDescent="0.3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</row>
    <row r="188" spans="1:51" x14ac:dyDescent="0.3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</row>
    <row r="189" spans="1:51" x14ac:dyDescent="0.3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</row>
    <row r="190" spans="1:51" x14ac:dyDescent="0.3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</row>
    <row r="191" spans="1:51" x14ac:dyDescent="0.3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</row>
    <row r="192" spans="1:51" x14ac:dyDescent="0.3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</row>
    <row r="193" spans="1:51" x14ac:dyDescent="0.3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</row>
    <row r="194" spans="1:51" x14ac:dyDescent="0.3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</row>
    <row r="195" spans="1:51" x14ac:dyDescent="0.3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</row>
    <row r="196" spans="1:51" x14ac:dyDescent="0.3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</row>
    <row r="197" spans="1:51" x14ac:dyDescent="0.3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</row>
    <row r="198" spans="1:51" x14ac:dyDescent="0.3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</row>
    <row r="199" spans="1:51" x14ac:dyDescent="0.3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</row>
    <row r="200" spans="1:51" x14ac:dyDescent="0.3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</row>
    <row r="201" spans="1:51" x14ac:dyDescent="0.3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</row>
    <row r="202" spans="1:51" x14ac:dyDescent="0.3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</row>
    <row r="203" spans="1:51" x14ac:dyDescent="0.3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</row>
    <row r="204" spans="1:51" x14ac:dyDescent="0.3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</row>
    <row r="205" spans="1:51" x14ac:dyDescent="0.3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</row>
    <row r="206" spans="1:51" x14ac:dyDescent="0.3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</row>
    <row r="207" spans="1:51" x14ac:dyDescent="0.3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</row>
    <row r="208" spans="1:51" x14ac:dyDescent="0.3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</row>
    <row r="209" spans="1:51" x14ac:dyDescent="0.3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</row>
    <row r="210" spans="1:51" x14ac:dyDescent="0.3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</row>
    <row r="211" spans="1:51" x14ac:dyDescent="0.3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</row>
    <row r="212" spans="1:51" x14ac:dyDescent="0.3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</row>
    <row r="213" spans="1:51" x14ac:dyDescent="0.3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</row>
    <row r="214" spans="1:51" x14ac:dyDescent="0.3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</row>
    <row r="215" spans="1:51" x14ac:dyDescent="0.3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</row>
    <row r="216" spans="1:51" x14ac:dyDescent="0.3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</row>
    <row r="217" spans="1:51" x14ac:dyDescent="0.3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</row>
    <row r="218" spans="1:51" x14ac:dyDescent="0.3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</row>
    <row r="219" spans="1:51" x14ac:dyDescent="0.3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</row>
    <row r="220" spans="1:51" x14ac:dyDescent="0.3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</row>
    <row r="221" spans="1:51" x14ac:dyDescent="0.3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</row>
    <row r="222" spans="1:51" x14ac:dyDescent="0.3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</row>
    <row r="223" spans="1:51" x14ac:dyDescent="0.3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</row>
    <row r="224" spans="1:51" x14ac:dyDescent="0.3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</row>
    <row r="225" spans="1:51" x14ac:dyDescent="0.3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</row>
    <row r="226" spans="1:51" x14ac:dyDescent="0.3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</row>
    <row r="227" spans="1:51" x14ac:dyDescent="0.3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</row>
    <row r="228" spans="1:51" x14ac:dyDescent="0.3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</row>
    <row r="229" spans="1:51" x14ac:dyDescent="0.3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</row>
    <row r="230" spans="1:51" x14ac:dyDescent="0.3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</row>
    <row r="231" spans="1:51" x14ac:dyDescent="0.3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</row>
    <row r="232" spans="1:51" x14ac:dyDescent="0.3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</row>
    <row r="233" spans="1:51" x14ac:dyDescent="0.3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</row>
    <row r="234" spans="1:51" x14ac:dyDescent="0.3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</row>
    <row r="235" spans="1:51" x14ac:dyDescent="0.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</row>
    <row r="236" spans="1:51" x14ac:dyDescent="0.3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</row>
    <row r="237" spans="1:51" x14ac:dyDescent="0.3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</row>
    <row r="238" spans="1:51" x14ac:dyDescent="0.3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</row>
    <row r="239" spans="1:51" x14ac:dyDescent="0.3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</row>
    <row r="240" spans="1:51" x14ac:dyDescent="0.3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</row>
    <row r="241" spans="1:51" x14ac:dyDescent="0.3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</row>
    <row r="242" spans="1:51" x14ac:dyDescent="0.3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</row>
    <row r="243" spans="1:51" x14ac:dyDescent="0.3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</row>
    <row r="244" spans="1:51" x14ac:dyDescent="0.3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</row>
    <row r="245" spans="1:51" x14ac:dyDescent="0.3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</row>
    <row r="246" spans="1:51" x14ac:dyDescent="0.3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</row>
    <row r="247" spans="1:51" x14ac:dyDescent="0.3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</row>
    <row r="248" spans="1:51" x14ac:dyDescent="0.3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</row>
    <row r="249" spans="1:51" x14ac:dyDescent="0.3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</row>
    <row r="250" spans="1:51" x14ac:dyDescent="0.3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</row>
    <row r="251" spans="1:51" x14ac:dyDescent="0.3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</row>
    <row r="252" spans="1:51" x14ac:dyDescent="0.3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</row>
    <row r="253" spans="1:51" x14ac:dyDescent="0.3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</row>
    <row r="254" spans="1:51" x14ac:dyDescent="0.3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</row>
    <row r="255" spans="1:51" x14ac:dyDescent="0.3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</row>
    <row r="256" spans="1:51" x14ac:dyDescent="0.3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</row>
    <row r="257" spans="1:51" x14ac:dyDescent="0.3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</row>
    <row r="258" spans="1:51" x14ac:dyDescent="0.3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</row>
    <row r="259" spans="1:51" x14ac:dyDescent="0.3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</row>
    <row r="260" spans="1:51" x14ac:dyDescent="0.3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</row>
    <row r="261" spans="1:51" x14ac:dyDescent="0.3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</row>
    <row r="262" spans="1:51" x14ac:dyDescent="0.3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</row>
    <row r="263" spans="1:51" x14ac:dyDescent="0.3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</row>
    <row r="264" spans="1:51" x14ac:dyDescent="0.3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</row>
    <row r="265" spans="1:51" x14ac:dyDescent="0.3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</row>
    <row r="266" spans="1:51" x14ac:dyDescent="0.3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</row>
    <row r="267" spans="1:51" x14ac:dyDescent="0.3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</row>
    <row r="268" spans="1:51" x14ac:dyDescent="0.3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</row>
    <row r="269" spans="1:51" x14ac:dyDescent="0.3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</row>
    <row r="270" spans="1:51" x14ac:dyDescent="0.3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</row>
    <row r="271" spans="1:51" x14ac:dyDescent="0.3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</row>
    <row r="272" spans="1:51" x14ac:dyDescent="0.3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</row>
    <row r="273" spans="1:51" x14ac:dyDescent="0.3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</row>
    <row r="274" spans="1:51" x14ac:dyDescent="0.3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</row>
    <row r="275" spans="1:51" x14ac:dyDescent="0.3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</row>
    <row r="276" spans="1:51" x14ac:dyDescent="0.3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</row>
    <row r="277" spans="1:51" x14ac:dyDescent="0.3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</row>
    <row r="278" spans="1:51" x14ac:dyDescent="0.3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</row>
    <row r="279" spans="1:51" x14ac:dyDescent="0.3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</row>
    <row r="280" spans="1:51" x14ac:dyDescent="0.3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</row>
    <row r="281" spans="1:51" x14ac:dyDescent="0.3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</row>
    <row r="282" spans="1:51" x14ac:dyDescent="0.3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</row>
    <row r="283" spans="1:51" x14ac:dyDescent="0.3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</row>
    <row r="284" spans="1:51" x14ac:dyDescent="0.3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</row>
    <row r="285" spans="1:51" x14ac:dyDescent="0.3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</row>
    <row r="286" spans="1:51" x14ac:dyDescent="0.3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</row>
    <row r="287" spans="1:51" x14ac:dyDescent="0.3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</row>
    <row r="288" spans="1:51" x14ac:dyDescent="0.3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</row>
    <row r="289" spans="1:51" x14ac:dyDescent="0.3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</row>
    <row r="290" spans="1:51" x14ac:dyDescent="0.3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</row>
    <row r="291" spans="1:51" x14ac:dyDescent="0.3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</row>
    <row r="292" spans="1:51" x14ac:dyDescent="0.3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</row>
    <row r="293" spans="1:51" x14ac:dyDescent="0.3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</row>
    <row r="294" spans="1:51" x14ac:dyDescent="0.3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</row>
    <row r="295" spans="1:51" x14ac:dyDescent="0.3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</row>
    <row r="296" spans="1:51" x14ac:dyDescent="0.3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</row>
    <row r="297" spans="1:51" x14ac:dyDescent="0.3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</row>
    <row r="298" spans="1:51" x14ac:dyDescent="0.3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</row>
    <row r="299" spans="1:51" x14ac:dyDescent="0.3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</row>
    <row r="300" spans="1:51" x14ac:dyDescent="0.3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</row>
    <row r="301" spans="1:51" x14ac:dyDescent="0.3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</row>
    <row r="302" spans="1:51" x14ac:dyDescent="0.3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</row>
    <row r="303" spans="1:51" x14ac:dyDescent="0.3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</row>
    <row r="304" spans="1:51" x14ac:dyDescent="0.3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</row>
    <row r="305" spans="1:51" x14ac:dyDescent="0.3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</row>
    <row r="306" spans="1:51" x14ac:dyDescent="0.3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</row>
    <row r="307" spans="1:51" x14ac:dyDescent="0.3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</row>
    <row r="308" spans="1:51" x14ac:dyDescent="0.3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</row>
    <row r="309" spans="1:51" x14ac:dyDescent="0.3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</row>
    <row r="310" spans="1:51" x14ac:dyDescent="0.3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</row>
    <row r="311" spans="1:51" x14ac:dyDescent="0.3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</row>
    <row r="312" spans="1:51" x14ac:dyDescent="0.3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</row>
    <row r="313" spans="1:51" x14ac:dyDescent="0.3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</row>
    <row r="314" spans="1:51" x14ac:dyDescent="0.3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</row>
    <row r="315" spans="1:51" x14ac:dyDescent="0.3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</row>
    <row r="316" spans="1:51" x14ac:dyDescent="0.3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</row>
    <row r="317" spans="1:51" x14ac:dyDescent="0.3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</row>
    <row r="318" spans="1:51" x14ac:dyDescent="0.3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</row>
    <row r="319" spans="1:51" x14ac:dyDescent="0.3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</row>
    <row r="320" spans="1:51" x14ac:dyDescent="0.3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</row>
    <row r="321" spans="1:51" x14ac:dyDescent="0.3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</row>
    <row r="322" spans="1:51" x14ac:dyDescent="0.3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</row>
    <row r="323" spans="1:51" x14ac:dyDescent="0.3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</row>
    <row r="324" spans="1:51" x14ac:dyDescent="0.3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</row>
    <row r="325" spans="1:51" x14ac:dyDescent="0.3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</row>
    <row r="326" spans="1:51" x14ac:dyDescent="0.3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</row>
    <row r="327" spans="1:51" x14ac:dyDescent="0.3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</row>
    <row r="328" spans="1:51" x14ac:dyDescent="0.3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</row>
    <row r="329" spans="1:51" x14ac:dyDescent="0.3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</row>
    <row r="330" spans="1:51" x14ac:dyDescent="0.3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</row>
    <row r="331" spans="1:51" x14ac:dyDescent="0.3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</row>
    <row r="332" spans="1:51" x14ac:dyDescent="0.3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</row>
    <row r="333" spans="1:51" x14ac:dyDescent="0.3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</row>
    <row r="334" spans="1:51" x14ac:dyDescent="0.3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</row>
    <row r="335" spans="1:51" x14ac:dyDescent="0.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</row>
    <row r="336" spans="1:51" x14ac:dyDescent="0.3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</row>
    <row r="337" spans="1:51" x14ac:dyDescent="0.3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</row>
    <row r="338" spans="1:51" x14ac:dyDescent="0.3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</row>
    <row r="339" spans="1:51" x14ac:dyDescent="0.3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</row>
    <row r="340" spans="1:51" x14ac:dyDescent="0.3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</row>
    <row r="341" spans="1:51" x14ac:dyDescent="0.3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</row>
    <row r="342" spans="1:51" x14ac:dyDescent="0.3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</row>
    <row r="343" spans="1:51" x14ac:dyDescent="0.3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</row>
    <row r="344" spans="1:51" x14ac:dyDescent="0.3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</row>
    <row r="345" spans="1:51" x14ac:dyDescent="0.3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</row>
    <row r="346" spans="1:51" x14ac:dyDescent="0.3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</row>
    <row r="347" spans="1:51" x14ac:dyDescent="0.3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</row>
    <row r="348" spans="1:51" x14ac:dyDescent="0.3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</row>
    <row r="349" spans="1:51" x14ac:dyDescent="0.3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</row>
    <row r="350" spans="1:51" x14ac:dyDescent="0.3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</row>
    <row r="351" spans="1:51" x14ac:dyDescent="0.3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</row>
    <row r="352" spans="1:51" x14ac:dyDescent="0.3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</row>
    <row r="353" spans="1:51" x14ac:dyDescent="0.3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</row>
    <row r="354" spans="1:51" x14ac:dyDescent="0.3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</row>
    <row r="355" spans="1:51" x14ac:dyDescent="0.3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</row>
    <row r="356" spans="1:51" x14ac:dyDescent="0.3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</row>
    <row r="357" spans="1:51" x14ac:dyDescent="0.3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</row>
    <row r="358" spans="1:51" x14ac:dyDescent="0.3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</row>
    <row r="359" spans="1:51" x14ac:dyDescent="0.3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</row>
    <row r="360" spans="1:51" x14ac:dyDescent="0.3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</row>
    <row r="361" spans="1:51" x14ac:dyDescent="0.3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</row>
    <row r="362" spans="1:51" x14ac:dyDescent="0.3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</row>
    <row r="363" spans="1:51" x14ac:dyDescent="0.3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</row>
    <row r="364" spans="1:51" x14ac:dyDescent="0.3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</row>
    <row r="365" spans="1:51" x14ac:dyDescent="0.3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</row>
    <row r="366" spans="1:51" x14ac:dyDescent="0.3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</row>
    <row r="367" spans="1:51" x14ac:dyDescent="0.3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</row>
    <row r="368" spans="1:51" x14ac:dyDescent="0.3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</row>
    <row r="369" spans="1:51" x14ac:dyDescent="0.3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</row>
    <row r="370" spans="1:51" x14ac:dyDescent="0.3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</row>
    <row r="371" spans="1:51" x14ac:dyDescent="0.3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</row>
    <row r="372" spans="1:51" x14ac:dyDescent="0.3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</row>
    <row r="373" spans="1:51" x14ac:dyDescent="0.3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</row>
    <row r="374" spans="1:51" x14ac:dyDescent="0.3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</row>
    <row r="375" spans="1:51" x14ac:dyDescent="0.3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</row>
    <row r="376" spans="1:51" x14ac:dyDescent="0.3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</row>
    <row r="377" spans="1:51" x14ac:dyDescent="0.3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</row>
    <row r="378" spans="1:51" x14ac:dyDescent="0.3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</row>
    <row r="379" spans="1:51" x14ac:dyDescent="0.3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</row>
    <row r="380" spans="1:51" x14ac:dyDescent="0.3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</row>
    <row r="381" spans="1:51" x14ac:dyDescent="0.3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</row>
    <row r="382" spans="1:51" x14ac:dyDescent="0.3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</row>
    <row r="383" spans="1:51" x14ac:dyDescent="0.3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</row>
    <row r="384" spans="1:51" x14ac:dyDescent="0.3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</row>
    <row r="385" spans="1:51" x14ac:dyDescent="0.3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</row>
    <row r="386" spans="1:51" x14ac:dyDescent="0.3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</row>
    <row r="387" spans="1:51" x14ac:dyDescent="0.3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</row>
    <row r="388" spans="1:51" x14ac:dyDescent="0.3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</row>
    <row r="389" spans="1:51" x14ac:dyDescent="0.3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</row>
    <row r="390" spans="1:51" x14ac:dyDescent="0.3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</row>
    <row r="391" spans="1:51" x14ac:dyDescent="0.3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</row>
    <row r="392" spans="1:51" x14ac:dyDescent="0.3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</row>
    <row r="393" spans="1:51" x14ac:dyDescent="0.3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</row>
    <row r="394" spans="1:51" x14ac:dyDescent="0.3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</row>
    <row r="395" spans="1:51" x14ac:dyDescent="0.3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</row>
    <row r="396" spans="1:51" x14ac:dyDescent="0.3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</row>
    <row r="397" spans="1:51" x14ac:dyDescent="0.3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</row>
    <row r="398" spans="1:51" x14ac:dyDescent="0.3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</row>
    <row r="399" spans="1:51" x14ac:dyDescent="0.3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</row>
    <row r="400" spans="1:51" x14ac:dyDescent="0.3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</row>
    <row r="401" spans="1:51" x14ac:dyDescent="0.3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</row>
    <row r="402" spans="1:51" x14ac:dyDescent="0.3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</row>
    <row r="403" spans="1:51" x14ac:dyDescent="0.3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</row>
    <row r="404" spans="1:51" x14ac:dyDescent="0.3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</row>
    <row r="405" spans="1:51" x14ac:dyDescent="0.3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</row>
    <row r="406" spans="1:51" x14ac:dyDescent="0.3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</row>
    <row r="407" spans="1:51" x14ac:dyDescent="0.3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</row>
    <row r="408" spans="1:51" x14ac:dyDescent="0.3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</row>
    <row r="409" spans="1:51" x14ac:dyDescent="0.3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</row>
    <row r="410" spans="1:51" x14ac:dyDescent="0.3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</row>
    <row r="411" spans="1:51" x14ac:dyDescent="0.3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</row>
    <row r="412" spans="1:51" x14ac:dyDescent="0.3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</row>
    <row r="413" spans="1:51" x14ac:dyDescent="0.3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</row>
    <row r="414" spans="1:51" x14ac:dyDescent="0.3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</row>
    <row r="415" spans="1:51" x14ac:dyDescent="0.3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</row>
    <row r="416" spans="1:51" x14ac:dyDescent="0.3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</row>
    <row r="417" spans="1:51" x14ac:dyDescent="0.3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</row>
    <row r="418" spans="1:51" x14ac:dyDescent="0.3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</row>
    <row r="419" spans="1:51" x14ac:dyDescent="0.3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</row>
    <row r="420" spans="1:51" x14ac:dyDescent="0.3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</row>
    <row r="421" spans="1:51" x14ac:dyDescent="0.3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</row>
    <row r="422" spans="1:51" x14ac:dyDescent="0.3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</row>
    <row r="423" spans="1:51" x14ac:dyDescent="0.3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</row>
    <row r="424" spans="1:51" x14ac:dyDescent="0.3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</row>
    <row r="425" spans="1:51" x14ac:dyDescent="0.3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</row>
    <row r="426" spans="1:51" x14ac:dyDescent="0.3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</row>
    <row r="427" spans="1:51" x14ac:dyDescent="0.3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</row>
    <row r="428" spans="1:51" x14ac:dyDescent="0.3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</row>
    <row r="429" spans="1:51" x14ac:dyDescent="0.3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</row>
    <row r="430" spans="1:51" x14ac:dyDescent="0.3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</row>
    <row r="431" spans="1:51" x14ac:dyDescent="0.3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</row>
    <row r="432" spans="1:51" x14ac:dyDescent="0.3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</row>
    <row r="433" spans="1:51" x14ac:dyDescent="0.3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</row>
    <row r="434" spans="1:51" x14ac:dyDescent="0.3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</row>
    <row r="435" spans="1:51" x14ac:dyDescent="0.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</row>
    <row r="436" spans="1:51" x14ac:dyDescent="0.3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</row>
    <row r="437" spans="1:51" x14ac:dyDescent="0.3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</row>
    <row r="438" spans="1:51" x14ac:dyDescent="0.3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</row>
    <row r="439" spans="1:51" x14ac:dyDescent="0.3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</row>
    <row r="440" spans="1:51" x14ac:dyDescent="0.3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</row>
    <row r="441" spans="1:51" x14ac:dyDescent="0.3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</row>
    <row r="442" spans="1:51" x14ac:dyDescent="0.3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</row>
    <row r="443" spans="1:51" x14ac:dyDescent="0.3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</row>
    <row r="444" spans="1:51" x14ac:dyDescent="0.3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</row>
    <row r="445" spans="1:51" x14ac:dyDescent="0.3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</row>
    <row r="446" spans="1:51" x14ac:dyDescent="0.3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</row>
    <row r="447" spans="1:51" x14ac:dyDescent="0.3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</row>
    <row r="448" spans="1:51" x14ac:dyDescent="0.3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</row>
    <row r="449" spans="1:51" x14ac:dyDescent="0.3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</row>
    <row r="450" spans="1:51" x14ac:dyDescent="0.3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</row>
    <row r="451" spans="1:51" x14ac:dyDescent="0.3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</row>
    <row r="452" spans="1:51" x14ac:dyDescent="0.3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</row>
    <row r="453" spans="1:51" x14ac:dyDescent="0.3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</row>
    <row r="454" spans="1:51" x14ac:dyDescent="0.3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</row>
    <row r="455" spans="1:51" x14ac:dyDescent="0.3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</row>
    <row r="456" spans="1:51" x14ac:dyDescent="0.3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</row>
    <row r="457" spans="1:51" x14ac:dyDescent="0.3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</row>
    <row r="458" spans="1:51" x14ac:dyDescent="0.3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</row>
    <row r="459" spans="1:51" x14ac:dyDescent="0.3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</row>
    <row r="460" spans="1:51" x14ac:dyDescent="0.3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</row>
    <row r="461" spans="1:51" x14ac:dyDescent="0.3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</row>
    <row r="462" spans="1:51" x14ac:dyDescent="0.3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</row>
    <row r="463" spans="1:51" x14ac:dyDescent="0.3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</row>
    <row r="464" spans="1:51" x14ac:dyDescent="0.3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</row>
    <row r="465" spans="1:51" x14ac:dyDescent="0.3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</row>
    <row r="466" spans="1:51" x14ac:dyDescent="0.3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</row>
    <row r="467" spans="1:51" x14ac:dyDescent="0.3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</row>
    <row r="468" spans="1:51" x14ac:dyDescent="0.3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</row>
    <row r="469" spans="1:51" x14ac:dyDescent="0.3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</row>
    <row r="470" spans="1:51" x14ac:dyDescent="0.3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</row>
    <row r="471" spans="1:51" x14ac:dyDescent="0.3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</row>
    <row r="472" spans="1:51" x14ac:dyDescent="0.3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</row>
    <row r="473" spans="1:51" x14ac:dyDescent="0.3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</row>
    <row r="474" spans="1:51" x14ac:dyDescent="0.3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</row>
    <row r="475" spans="1:51" x14ac:dyDescent="0.3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</row>
    <row r="476" spans="1:51" x14ac:dyDescent="0.3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</row>
    <row r="477" spans="1:51" x14ac:dyDescent="0.3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</row>
    <row r="478" spans="1:51" x14ac:dyDescent="0.3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</row>
    <row r="479" spans="1:51" x14ac:dyDescent="0.3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</row>
    <row r="480" spans="1:51" x14ac:dyDescent="0.3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</row>
    <row r="481" spans="1:51" x14ac:dyDescent="0.3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</row>
    <row r="482" spans="1:51" x14ac:dyDescent="0.3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</row>
    <row r="483" spans="1:51" x14ac:dyDescent="0.3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</row>
    <row r="484" spans="1:51" x14ac:dyDescent="0.3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</row>
    <row r="485" spans="1:51" x14ac:dyDescent="0.3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</row>
    <row r="486" spans="1:51" x14ac:dyDescent="0.3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</row>
    <row r="487" spans="1:51" x14ac:dyDescent="0.3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</row>
    <row r="488" spans="1:51" x14ac:dyDescent="0.3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</row>
    <row r="489" spans="1:51" x14ac:dyDescent="0.3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</row>
    <row r="490" spans="1:51" x14ac:dyDescent="0.3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</row>
    <row r="491" spans="1:51" x14ac:dyDescent="0.3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</row>
    <row r="492" spans="1:51" x14ac:dyDescent="0.3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</row>
    <row r="493" spans="1:51" x14ac:dyDescent="0.3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</row>
    <row r="494" spans="1:51" x14ac:dyDescent="0.3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</row>
    <row r="495" spans="1:51" x14ac:dyDescent="0.3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</row>
    <row r="496" spans="1:51" x14ac:dyDescent="0.3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</row>
    <row r="497" spans="1:51" x14ac:dyDescent="0.3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</row>
    <row r="498" spans="1:51" x14ac:dyDescent="0.3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</row>
    <row r="499" spans="1:51" x14ac:dyDescent="0.3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</row>
    <row r="500" spans="1:51" x14ac:dyDescent="0.3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</row>
    <row r="501" spans="1:51" x14ac:dyDescent="0.3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</row>
    <row r="502" spans="1:51" x14ac:dyDescent="0.3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</row>
    <row r="503" spans="1:51" x14ac:dyDescent="0.3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</row>
    <row r="504" spans="1:51" x14ac:dyDescent="0.3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</row>
    <row r="505" spans="1:51" x14ac:dyDescent="0.3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</row>
    <row r="506" spans="1:51" x14ac:dyDescent="0.3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</row>
    <row r="507" spans="1:51" x14ac:dyDescent="0.3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</row>
    <row r="508" spans="1:51" x14ac:dyDescent="0.3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</row>
    <row r="509" spans="1:51" x14ac:dyDescent="0.3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</row>
    <row r="510" spans="1:51" x14ac:dyDescent="0.3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</row>
    <row r="511" spans="1:51" x14ac:dyDescent="0.3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</row>
    <row r="512" spans="1:51" x14ac:dyDescent="0.3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</row>
    <row r="513" spans="1:51" x14ac:dyDescent="0.3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</row>
    <row r="514" spans="1:51" x14ac:dyDescent="0.3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</row>
    <row r="515" spans="1:51" x14ac:dyDescent="0.3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</row>
    <row r="516" spans="1:51" x14ac:dyDescent="0.3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</row>
    <row r="517" spans="1:51" x14ac:dyDescent="0.3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</row>
    <row r="518" spans="1:51" x14ac:dyDescent="0.3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</row>
    <row r="519" spans="1:51" x14ac:dyDescent="0.3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</row>
    <row r="520" spans="1:51" x14ac:dyDescent="0.3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</row>
    <row r="521" spans="1:51" x14ac:dyDescent="0.3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</row>
    <row r="522" spans="1:51" x14ac:dyDescent="0.3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</row>
    <row r="523" spans="1:51" x14ac:dyDescent="0.3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</row>
    <row r="524" spans="1:51" x14ac:dyDescent="0.3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</row>
    <row r="525" spans="1:51" x14ac:dyDescent="0.3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</row>
    <row r="526" spans="1:51" x14ac:dyDescent="0.3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</row>
    <row r="527" spans="1:51" x14ac:dyDescent="0.3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</row>
    <row r="528" spans="1:51" x14ac:dyDescent="0.3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</row>
    <row r="529" spans="1:51" x14ac:dyDescent="0.3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</row>
    <row r="530" spans="1:51" x14ac:dyDescent="0.3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</row>
    <row r="531" spans="1:51" x14ac:dyDescent="0.3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</row>
    <row r="532" spans="1:51" x14ac:dyDescent="0.3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</row>
    <row r="533" spans="1:51" x14ac:dyDescent="0.3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</row>
    <row r="534" spans="1:51" x14ac:dyDescent="0.3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</row>
    <row r="535" spans="1:51" x14ac:dyDescent="0.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</row>
    <row r="536" spans="1:51" x14ac:dyDescent="0.3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</row>
    <row r="537" spans="1:51" x14ac:dyDescent="0.3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</row>
    <row r="538" spans="1:51" x14ac:dyDescent="0.3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</row>
    <row r="539" spans="1:51" x14ac:dyDescent="0.3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</row>
    <row r="540" spans="1:51" x14ac:dyDescent="0.3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</row>
    <row r="541" spans="1:51" x14ac:dyDescent="0.3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</row>
    <row r="542" spans="1:51" x14ac:dyDescent="0.3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</row>
    <row r="543" spans="1:51" x14ac:dyDescent="0.3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</row>
    <row r="544" spans="1:51" x14ac:dyDescent="0.3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</row>
    <row r="545" spans="1:51" x14ac:dyDescent="0.3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</row>
    <row r="546" spans="1:51" x14ac:dyDescent="0.3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</row>
    <row r="547" spans="1:51" x14ac:dyDescent="0.3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</row>
    <row r="548" spans="1:51" x14ac:dyDescent="0.3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</row>
    <row r="549" spans="1:51" x14ac:dyDescent="0.3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</row>
    <row r="550" spans="1:51" x14ac:dyDescent="0.3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</row>
    <row r="551" spans="1:51" x14ac:dyDescent="0.3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</row>
    <row r="552" spans="1:51" x14ac:dyDescent="0.3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</row>
    <row r="553" spans="1:51" x14ac:dyDescent="0.3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</row>
    <row r="554" spans="1:51" x14ac:dyDescent="0.3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</row>
    <row r="555" spans="1:51" x14ac:dyDescent="0.3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</row>
    <row r="556" spans="1:51" x14ac:dyDescent="0.3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</row>
    <row r="557" spans="1:51" x14ac:dyDescent="0.3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</row>
    <row r="558" spans="1:51" x14ac:dyDescent="0.3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</row>
    <row r="559" spans="1:51" x14ac:dyDescent="0.3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</row>
    <row r="560" spans="1:51" x14ac:dyDescent="0.3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</row>
    <row r="561" spans="1:51" x14ac:dyDescent="0.3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</row>
    <row r="562" spans="1:51" x14ac:dyDescent="0.3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</row>
    <row r="563" spans="1:51" x14ac:dyDescent="0.3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</row>
    <row r="564" spans="1:51" x14ac:dyDescent="0.3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</row>
    <row r="565" spans="1:51" x14ac:dyDescent="0.3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</row>
    <row r="566" spans="1:51" x14ac:dyDescent="0.3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</row>
    <row r="567" spans="1:51" x14ac:dyDescent="0.3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</row>
    <row r="568" spans="1:51" x14ac:dyDescent="0.3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</row>
    <row r="569" spans="1:51" x14ac:dyDescent="0.3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</row>
    <row r="570" spans="1:51" x14ac:dyDescent="0.3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</row>
    <row r="571" spans="1:51" x14ac:dyDescent="0.3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</row>
    <row r="572" spans="1:51" x14ac:dyDescent="0.3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</row>
    <row r="573" spans="1:51" x14ac:dyDescent="0.3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</row>
    <row r="574" spans="1:51" x14ac:dyDescent="0.3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</row>
    <row r="575" spans="1:51" x14ac:dyDescent="0.3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</row>
    <row r="576" spans="1:51" x14ac:dyDescent="0.3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</row>
    <row r="577" spans="1:51" x14ac:dyDescent="0.3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</row>
    <row r="578" spans="1:51" x14ac:dyDescent="0.3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</row>
    <row r="579" spans="1:51" x14ac:dyDescent="0.3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</row>
    <row r="580" spans="1:51" x14ac:dyDescent="0.3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</row>
    <row r="581" spans="1:51" x14ac:dyDescent="0.3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</row>
    <row r="582" spans="1:51" x14ac:dyDescent="0.3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</row>
    <row r="583" spans="1:51" x14ac:dyDescent="0.3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</row>
    <row r="584" spans="1:51" x14ac:dyDescent="0.3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</row>
    <row r="585" spans="1:51" x14ac:dyDescent="0.3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</row>
    <row r="586" spans="1:51" x14ac:dyDescent="0.3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</row>
    <row r="587" spans="1:51" x14ac:dyDescent="0.3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</row>
    <row r="588" spans="1:51" x14ac:dyDescent="0.3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</row>
    <row r="589" spans="1:51" x14ac:dyDescent="0.3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</row>
    <row r="590" spans="1:51" x14ac:dyDescent="0.3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</row>
    <row r="591" spans="1:51" x14ac:dyDescent="0.3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</row>
    <row r="592" spans="1:51" x14ac:dyDescent="0.3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</row>
    <row r="593" spans="1:51" x14ac:dyDescent="0.3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</row>
    <row r="594" spans="1:51" x14ac:dyDescent="0.3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</row>
    <row r="595" spans="1:51" x14ac:dyDescent="0.3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</row>
    <row r="596" spans="1:51" x14ac:dyDescent="0.3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</row>
    <row r="597" spans="1:51" x14ac:dyDescent="0.3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</row>
    <row r="598" spans="1:51" x14ac:dyDescent="0.3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</row>
    <row r="599" spans="1:51" x14ac:dyDescent="0.3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</row>
    <row r="600" spans="1:51" x14ac:dyDescent="0.3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</row>
    <row r="601" spans="1:51" x14ac:dyDescent="0.3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</row>
    <row r="602" spans="1:51" x14ac:dyDescent="0.3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</row>
    <row r="603" spans="1:51" x14ac:dyDescent="0.3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</row>
    <row r="604" spans="1:51" x14ac:dyDescent="0.3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</row>
    <row r="605" spans="1:51" x14ac:dyDescent="0.3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</row>
    <row r="606" spans="1:51" x14ac:dyDescent="0.3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</row>
    <row r="607" spans="1:51" x14ac:dyDescent="0.3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</row>
    <row r="608" spans="1:51" x14ac:dyDescent="0.3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</row>
    <row r="609" spans="1:51" x14ac:dyDescent="0.3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</row>
    <row r="610" spans="1:51" x14ac:dyDescent="0.3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</row>
    <row r="611" spans="1:51" x14ac:dyDescent="0.3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</row>
    <row r="612" spans="1:51" x14ac:dyDescent="0.3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</row>
    <row r="613" spans="1:51" x14ac:dyDescent="0.3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</row>
    <row r="614" spans="1:51" x14ac:dyDescent="0.3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</row>
    <row r="615" spans="1:51" x14ac:dyDescent="0.3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</row>
    <row r="616" spans="1:51" x14ac:dyDescent="0.3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</row>
    <row r="617" spans="1:51" x14ac:dyDescent="0.3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</row>
    <row r="618" spans="1:51" x14ac:dyDescent="0.3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</row>
    <row r="619" spans="1:51" x14ac:dyDescent="0.3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</row>
    <row r="620" spans="1:51" x14ac:dyDescent="0.3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</row>
    <row r="621" spans="1:51" x14ac:dyDescent="0.3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</row>
    <row r="622" spans="1:51" x14ac:dyDescent="0.3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</row>
    <row r="623" spans="1:51" x14ac:dyDescent="0.3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</row>
    <row r="624" spans="1:51" x14ac:dyDescent="0.3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</row>
    <row r="625" spans="1:51" x14ac:dyDescent="0.3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</row>
    <row r="626" spans="1:51" x14ac:dyDescent="0.3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</row>
    <row r="627" spans="1:51" x14ac:dyDescent="0.3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</row>
    <row r="628" spans="1:51" x14ac:dyDescent="0.3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</row>
    <row r="629" spans="1:51" x14ac:dyDescent="0.3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</row>
    <row r="630" spans="1:51" x14ac:dyDescent="0.3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</row>
    <row r="631" spans="1:51" x14ac:dyDescent="0.3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</row>
    <row r="632" spans="1:51" x14ac:dyDescent="0.3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</row>
    <row r="633" spans="1:51" x14ac:dyDescent="0.3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</row>
    <row r="634" spans="1:51" x14ac:dyDescent="0.3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</row>
    <row r="635" spans="1:51" x14ac:dyDescent="0.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</row>
    <row r="636" spans="1:51" x14ac:dyDescent="0.3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</row>
    <row r="637" spans="1:51" x14ac:dyDescent="0.3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</row>
    <row r="638" spans="1:51" x14ac:dyDescent="0.3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</row>
    <row r="639" spans="1:51" x14ac:dyDescent="0.3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</row>
    <row r="640" spans="1:51" x14ac:dyDescent="0.3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</row>
    <row r="641" spans="1:51" x14ac:dyDescent="0.3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</row>
    <row r="642" spans="1:51" x14ac:dyDescent="0.3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</row>
    <row r="643" spans="1:51" x14ac:dyDescent="0.3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</row>
    <row r="644" spans="1:51" x14ac:dyDescent="0.3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</row>
    <row r="645" spans="1:51" x14ac:dyDescent="0.3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</row>
    <row r="646" spans="1:51" x14ac:dyDescent="0.3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</row>
    <row r="647" spans="1:51" x14ac:dyDescent="0.3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</row>
    <row r="648" spans="1:51" x14ac:dyDescent="0.3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</row>
    <row r="649" spans="1:51" x14ac:dyDescent="0.3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</row>
    <row r="650" spans="1:51" x14ac:dyDescent="0.3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</row>
    <row r="651" spans="1:51" x14ac:dyDescent="0.3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</row>
    <row r="652" spans="1:51" x14ac:dyDescent="0.3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</row>
    <row r="653" spans="1:51" x14ac:dyDescent="0.3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</row>
    <row r="654" spans="1:51" x14ac:dyDescent="0.3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</row>
    <row r="655" spans="1:51" x14ac:dyDescent="0.3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</row>
    <row r="656" spans="1:51" x14ac:dyDescent="0.3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</row>
    <row r="657" spans="1:51" x14ac:dyDescent="0.3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</row>
    <row r="658" spans="1:51" x14ac:dyDescent="0.3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</row>
    <row r="659" spans="1:51" x14ac:dyDescent="0.3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</row>
    <row r="660" spans="1:51" x14ac:dyDescent="0.3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</row>
    <row r="661" spans="1:51" x14ac:dyDescent="0.3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</row>
    <row r="662" spans="1:51" x14ac:dyDescent="0.3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</row>
    <row r="663" spans="1:51" x14ac:dyDescent="0.3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</row>
    <row r="664" spans="1:51" x14ac:dyDescent="0.3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</row>
    <row r="665" spans="1:51" x14ac:dyDescent="0.3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</row>
    <row r="666" spans="1:51" x14ac:dyDescent="0.3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</row>
    <row r="667" spans="1:51" x14ac:dyDescent="0.3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</row>
    <row r="668" spans="1:51" x14ac:dyDescent="0.3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</row>
    <row r="669" spans="1:51" x14ac:dyDescent="0.3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</row>
    <row r="670" spans="1:51" x14ac:dyDescent="0.3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</row>
    <row r="671" spans="1:51" x14ac:dyDescent="0.3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</row>
    <row r="672" spans="1:51" x14ac:dyDescent="0.3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</row>
    <row r="673" spans="1:51" x14ac:dyDescent="0.3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</row>
    <row r="674" spans="1:51" x14ac:dyDescent="0.3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</row>
    <row r="675" spans="1:51" x14ac:dyDescent="0.3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</row>
    <row r="676" spans="1:51" x14ac:dyDescent="0.3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</row>
    <row r="677" spans="1:51" x14ac:dyDescent="0.3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</row>
    <row r="678" spans="1:51" x14ac:dyDescent="0.3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</row>
    <row r="679" spans="1:51" x14ac:dyDescent="0.3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</row>
    <row r="680" spans="1:51" x14ac:dyDescent="0.3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</row>
    <row r="681" spans="1:51" x14ac:dyDescent="0.3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</row>
    <row r="682" spans="1:51" x14ac:dyDescent="0.3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</row>
    <row r="683" spans="1:51" x14ac:dyDescent="0.3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</row>
    <row r="684" spans="1:51" x14ac:dyDescent="0.3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</row>
    <row r="685" spans="1:51" x14ac:dyDescent="0.3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</row>
    <row r="686" spans="1:51" x14ac:dyDescent="0.3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</row>
    <row r="687" spans="1:51" x14ac:dyDescent="0.3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</row>
    <row r="688" spans="1:51" x14ac:dyDescent="0.3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</row>
    <row r="689" spans="1:51" x14ac:dyDescent="0.3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</row>
    <row r="690" spans="1:51" x14ac:dyDescent="0.3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</row>
    <row r="691" spans="1:51" x14ac:dyDescent="0.3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</row>
    <row r="692" spans="1:51" x14ac:dyDescent="0.3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</row>
    <row r="693" spans="1:51" x14ac:dyDescent="0.3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</row>
    <row r="694" spans="1:51" x14ac:dyDescent="0.3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</row>
    <row r="695" spans="1:51" x14ac:dyDescent="0.3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</row>
    <row r="696" spans="1:51" x14ac:dyDescent="0.3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</row>
    <row r="697" spans="1:51" x14ac:dyDescent="0.3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</row>
    <row r="698" spans="1:51" x14ac:dyDescent="0.3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</row>
    <row r="699" spans="1:51" x14ac:dyDescent="0.3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</row>
    <row r="700" spans="1:51" x14ac:dyDescent="0.3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</row>
    <row r="701" spans="1:51" x14ac:dyDescent="0.3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</row>
    <row r="702" spans="1:51" x14ac:dyDescent="0.3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</row>
    <row r="703" spans="1:51" x14ac:dyDescent="0.3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</row>
    <row r="704" spans="1:51" x14ac:dyDescent="0.3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</row>
    <row r="705" spans="1:51" x14ac:dyDescent="0.3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</row>
    <row r="706" spans="1:51" x14ac:dyDescent="0.3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</row>
    <row r="707" spans="1:51" x14ac:dyDescent="0.3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</row>
    <row r="708" spans="1:51" x14ac:dyDescent="0.3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</row>
    <row r="709" spans="1:51" x14ac:dyDescent="0.3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</row>
    <row r="710" spans="1:51" x14ac:dyDescent="0.3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</row>
    <row r="711" spans="1:51" x14ac:dyDescent="0.3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</row>
    <row r="712" spans="1:51" x14ac:dyDescent="0.3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</row>
    <row r="713" spans="1:51" x14ac:dyDescent="0.3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</row>
    <row r="714" spans="1:51" x14ac:dyDescent="0.3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</row>
    <row r="715" spans="1:51" x14ac:dyDescent="0.3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</row>
    <row r="716" spans="1:51" x14ac:dyDescent="0.3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</row>
    <row r="717" spans="1:51" x14ac:dyDescent="0.3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</row>
    <row r="718" spans="1:51" x14ac:dyDescent="0.3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</row>
    <row r="719" spans="1:51" x14ac:dyDescent="0.3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</row>
    <row r="720" spans="1:51" x14ac:dyDescent="0.3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</row>
    <row r="721" spans="1:51" x14ac:dyDescent="0.3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</row>
    <row r="722" spans="1:51" x14ac:dyDescent="0.3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</row>
    <row r="723" spans="1:51" x14ac:dyDescent="0.3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</row>
    <row r="724" spans="1:51" x14ac:dyDescent="0.3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</row>
    <row r="725" spans="1:51" x14ac:dyDescent="0.3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</row>
    <row r="726" spans="1:51" x14ac:dyDescent="0.3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</row>
    <row r="727" spans="1:51" x14ac:dyDescent="0.3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</row>
    <row r="728" spans="1:51" x14ac:dyDescent="0.3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</row>
    <row r="729" spans="1:51" x14ac:dyDescent="0.3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</row>
    <row r="730" spans="1:51" x14ac:dyDescent="0.3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</row>
    <row r="731" spans="1:51" x14ac:dyDescent="0.3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</row>
    <row r="732" spans="1:51" x14ac:dyDescent="0.3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</row>
    <row r="733" spans="1:51" x14ac:dyDescent="0.3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</row>
    <row r="734" spans="1:51" x14ac:dyDescent="0.3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</row>
    <row r="735" spans="1:51" x14ac:dyDescent="0.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</row>
    <row r="736" spans="1:51" x14ac:dyDescent="0.3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</row>
    <row r="737" spans="1:51" x14ac:dyDescent="0.3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</row>
    <row r="738" spans="1:51" x14ac:dyDescent="0.3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</row>
    <row r="739" spans="1:51" x14ac:dyDescent="0.3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</row>
    <row r="740" spans="1:51" x14ac:dyDescent="0.3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</row>
    <row r="741" spans="1:51" x14ac:dyDescent="0.3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</row>
    <row r="742" spans="1:51" x14ac:dyDescent="0.3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</row>
    <row r="743" spans="1:51" x14ac:dyDescent="0.3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</row>
    <row r="744" spans="1:51" x14ac:dyDescent="0.3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</row>
    <row r="745" spans="1:51" x14ac:dyDescent="0.3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</row>
    <row r="746" spans="1:51" x14ac:dyDescent="0.3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</row>
    <row r="747" spans="1:51" x14ac:dyDescent="0.3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</row>
    <row r="748" spans="1:51" x14ac:dyDescent="0.3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</row>
    <row r="749" spans="1:51" x14ac:dyDescent="0.3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</row>
    <row r="750" spans="1:51" x14ac:dyDescent="0.3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</row>
    <row r="751" spans="1:51" x14ac:dyDescent="0.3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</row>
    <row r="752" spans="1:51" x14ac:dyDescent="0.3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</row>
    <row r="753" spans="1:51" x14ac:dyDescent="0.3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</row>
    <row r="754" spans="1:51" x14ac:dyDescent="0.3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</row>
    <row r="755" spans="1:51" x14ac:dyDescent="0.3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</row>
    <row r="756" spans="1:51" x14ac:dyDescent="0.3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</row>
    <row r="757" spans="1:51" x14ac:dyDescent="0.3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</row>
    <row r="758" spans="1:51" x14ac:dyDescent="0.3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</row>
    <row r="759" spans="1:51" x14ac:dyDescent="0.3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</row>
    <row r="760" spans="1:51" x14ac:dyDescent="0.3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</row>
    <row r="761" spans="1:51" x14ac:dyDescent="0.3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</row>
    <row r="762" spans="1:51" x14ac:dyDescent="0.3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</row>
    <row r="763" spans="1:51" x14ac:dyDescent="0.3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</row>
    <row r="764" spans="1:51" x14ac:dyDescent="0.3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</row>
    <row r="765" spans="1:51" x14ac:dyDescent="0.3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</row>
    <row r="766" spans="1:51" x14ac:dyDescent="0.3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</row>
    <row r="767" spans="1:51" x14ac:dyDescent="0.3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</row>
    <row r="768" spans="1:51" x14ac:dyDescent="0.3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</row>
    <row r="769" spans="1:51" x14ac:dyDescent="0.3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</row>
    <row r="770" spans="1:51" x14ac:dyDescent="0.3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</row>
    <row r="771" spans="1:51" x14ac:dyDescent="0.3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</row>
    <row r="772" spans="1:51" x14ac:dyDescent="0.3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</row>
    <row r="773" spans="1:51" x14ac:dyDescent="0.3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</row>
    <row r="774" spans="1:51" x14ac:dyDescent="0.3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</row>
    <row r="775" spans="1:51" x14ac:dyDescent="0.3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</row>
    <row r="776" spans="1:51" x14ac:dyDescent="0.3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</row>
    <row r="777" spans="1:51" x14ac:dyDescent="0.3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</row>
    <row r="778" spans="1:51" x14ac:dyDescent="0.3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</row>
    <row r="779" spans="1:51" x14ac:dyDescent="0.3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</row>
    <row r="780" spans="1:51" x14ac:dyDescent="0.3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</row>
    <row r="781" spans="1:51" x14ac:dyDescent="0.3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</row>
    <row r="782" spans="1:51" x14ac:dyDescent="0.3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</row>
    <row r="783" spans="1:51" x14ac:dyDescent="0.3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</row>
    <row r="784" spans="1:51" x14ac:dyDescent="0.3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</row>
    <row r="785" spans="1:51" x14ac:dyDescent="0.3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</row>
    <row r="786" spans="1:51" x14ac:dyDescent="0.3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</row>
    <row r="787" spans="1:51" x14ac:dyDescent="0.3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</row>
    <row r="788" spans="1:51" x14ac:dyDescent="0.3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</row>
    <row r="789" spans="1:51" x14ac:dyDescent="0.3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</row>
    <row r="790" spans="1:51" x14ac:dyDescent="0.3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</row>
    <row r="791" spans="1:51" x14ac:dyDescent="0.3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</row>
    <row r="792" spans="1:51" x14ac:dyDescent="0.3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</row>
    <row r="793" spans="1:51" x14ac:dyDescent="0.3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</row>
    <row r="794" spans="1:51" x14ac:dyDescent="0.3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</row>
    <row r="795" spans="1:51" x14ac:dyDescent="0.3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</row>
    <row r="796" spans="1:51" x14ac:dyDescent="0.3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</row>
    <row r="797" spans="1:51" x14ac:dyDescent="0.3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</row>
    <row r="798" spans="1:51" x14ac:dyDescent="0.3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</row>
    <row r="799" spans="1:51" x14ac:dyDescent="0.3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</row>
    <row r="800" spans="1:51" x14ac:dyDescent="0.3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</row>
    <row r="801" spans="1:51" x14ac:dyDescent="0.3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</row>
    <row r="802" spans="1:51" x14ac:dyDescent="0.3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</row>
    <row r="803" spans="1:51" x14ac:dyDescent="0.3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</row>
    <row r="804" spans="1:51" x14ac:dyDescent="0.3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</row>
    <row r="805" spans="1:51" x14ac:dyDescent="0.3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</row>
    <row r="806" spans="1:51" x14ac:dyDescent="0.3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</row>
    <row r="807" spans="1:51" x14ac:dyDescent="0.3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</row>
    <row r="808" spans="1:51" x14ac:dyDescent="0.3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</row>
    <row r="809" spans="1:51" x14ac:dyDescent="0.3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</row>
    <row r="810" spans="1:51" x14ac:dyDescent="0.3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</row>
    <row r="811" spans="1:51" x14ac:dyDescent="0.3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</row>
    <row r="812" spans="1:51" x14ac:dyDescent="0.3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</row>
    <row r="813" spans="1:51" x14ac:dyDescent="0.3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</row>
    <row r="814" spans="1:51" x14ac:dyDescent="0.3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</row>
    <row r="815" spans="1:51" x14ac:dyDescent="0.3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</row>
    <row r="816" spans="1:51" x14ac:dyDescent="0.3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</row>
    <row r="817" spans="1:51" x14ac:dyDescent="0.3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</row>
    <row r="818" spans="1:51" x14ac:dyDescent="0.3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</row>
    <row r="819" spans="1:51" x14ac:dyDescent="0.3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</row>
    <row r="820" spans="1:51" x14ac:dyDescent="0.3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</row>
    <row r="821" spans="1:51" x14ac:dyDescent="0.3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</row>
    <row r="822" spans="1:51" x14ac:dyDescent="0.3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</row>
    <row r="823" spans="1:51" x14ac:dyDescent="0.3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</row>
    <row r="824" spans="1:51" x14ac:dyDescent="0.3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</row>
    <row r="825" spans="1:51" x14ac:dyDescent="0.3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</row>
    <row r="826" spans="1:51" x14ac:dyDescent="0.3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</row>
    <row r="827" spans="1:51" x14ac:dyDescent="0.3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</row>
    <row r="828" spans="1:51" x14ac:dyDescent="0.3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</row>
    <row r="829" spans="1:51" x14ac:dyDescent="0.3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</row>
    <row r="830" spans="1:51" x14ac:dyDescent="0.3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</row>
    <row r="831" spans="1:51" x14ac:dyDescent="0.3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</row>
    <row r="832" spans="1:51" x14ac:dyDescent="0.3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</row>
    <row r="833" spans="1:51" x14ac:dyDescent="0.3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</row>
    <row r="834" spans="1:51" x14ac:dyDescent="0.3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</row>
    <row r="835" spans="1:51" x14ac:dyDescent="0.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</row>
    <row r="836" spans="1:51" x14ac:dyDescent="0.3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</row>
    <row r="837" spans="1:51" x14ac:dyDescent="0.3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</row>
    <row r="838" spans="1:51" x14ac:dyDescent="0.3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</row>
    <row r="839" spans="1:51" x14ac:dyDescent="0.3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</row>
    <row r="840" spans="1:51" x14ac:dyDescent="0.3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</row>
    <row r="841" spans="1:51" x14ac:dyDescent="0.3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</row>
    <row r="842" spans="1:51" x14ac:dyDescent="0.3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</row>
    <row r="843" spans="1:51" x14ac:dyDescent="0.3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</row>
    <row r="844" spans="1:51" x14ac:dyDescent="0.3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</row>
    <row r="845" spans="1:51" x14ac:dyDescent="0.3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</row>
    <row r="846" spans="1:51" x14ac:dyDescent="0.3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</row>
    <row r="847" spans="1:51" x14ac:dyDescent="0.3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</row>
    <row r="848" spans="1:51" x14ac:dyDescent="0.3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</row>
    <row r="849" spans="1:51" x14ac:dyDescent="0.3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</row>
    <row r="850" spans="1:51" x14ac:dyDescent="0.3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</row>
    <row r="851" spans="1:51" x14ac:dyDescent="0.3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</row>
    <row r="852" spans="1:51" x14ac:dyDescent="0.3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</row>
    <row r="853" spans="1:51" x14ac:dyDescent="0.3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</row>
    <row r="854" spans="1:51" x14ac:dyDescent="0.3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</row>
    <row r="855" spans="1:51" x14ac:dyDescent="0.3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</row>
    <row r="856" spans="1:51" x14ac:dyDescent="0.3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</row>
    <row r="857" spans="1:51" x14ac:dyDescent="0.3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</row>
    <row r="858" spans="1:51" x14ac:dyDescent="0.3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</row>
    <row r="859" spans="1:51" x14ac:dyDescent="0.3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</row>
    <row r="860" spans="1:51" x14ac:dyDescent="0.3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</row>
    <row r="861" spans="1:51" x14ac:dyDescent="0.3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</row>
    <row r="862" spans="1:51" x14ac:dyDescent="0.3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</row>
    <row r="863" spans="1:51" x14ac:dyDescent="0.3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</row>
    <row r="864" spans="1:51" x14ac:dyDescent="0.3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</row>
    <row r="865" spans="1:51" x14ac:dyDescent="0.3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</row>
    <row r="866" spans="1:51" x14ac:dyDescent="0.3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</row>
    <row r="867" spans="1:51" x14ac:dyDescent="0.3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</row>
    <row r="868" spans="1:51" x14ac:dyDescent="0.3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</row>
    <row r="869" spans="1:51" x14ac:dyDescent="0.3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</row>
    <row r="870" spans="1:51" x14ac:dyDescent="0.3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</row>
    <row r="871" spans="1:51" x14ac:dyDescent="0.3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</row>
    <row r="872" spans="1:51" x14ac:dyDescent="0.3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</row>
    <row r="873" spans="1:51" x14ac:dyDescent="0.3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</row>
    <row r="874" spans="1:51" x14ac:dyDescent="0.3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</row>
    <row r="875" spans="1:51" x14ac:dyDescent="0.3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</row>
    <row r="876" spans="1:51" x14ac:dyDescent="0.3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</row>
    <row r="877" spans="1:51" x14ac:dyDescent="0.3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</row>
    <row r="878" spans="1:51" x14ac:dyDescent="0.3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</row>
    <row r="879" spans="1:51" x14ac:dyDescent="0.3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</row>
    <row r="880" spans="1:51" x14ac:dyDescent="0.3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</row>
    <row r="881" spans="1:51" x14ac:dyDescent="0.3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</row>
    <row r="882" spans="1:51" x14ac:dyDescent="0.3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</row>
    <row r="883" spans="1:51" x14ac:dyDescent="0.3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</row>
    <row r="884" spans="1:51" x14ac:dyDescent="0.3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</row>
    <row r="885" spans="1:51" x14ac:dyDescent="0.3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</row>
    <row r="886" spans="1:51" x14ac:dyDescent="0.3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</row>
    <row r="887" spans="1:51" x14ac:dyDescent="0.3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</row>
    <row r="888" spans="1:51" x14ac:dyDescent="0.3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</row>
    <row r="889" spans="1:51" x14ac:dyDescent="0.3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</row>
    <row r="890" spans="1:51" x14ac:dyDescent="0.3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</row>
    <row r="891" spans="1:51" x14ac:dyDescent="0.3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</row>
    <row r="892" spans="1:51" x14ac:dyDescent="0.3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</row>
    <row r="893" spans="1:51" x14ac:dyDescent="0.3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</row>
    <row r="894" spans="1:51" x14ac:dyDescent="0.3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</row>
    <row r="895" spans="1:51" x14ac:dyDescent="0.3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</row>
    <row r="896" spans="1:51" x14ac:dyDescent="0.3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</row>
    <row r="897" spans="1:51" x14ac:dyDescent="0.3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</row>
    <row r="898" spans="1:51" x14ac:dyDescent="0.3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</row>
    <row r="899" spans="1:51" x14ac:dyDescent="0.3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</row>
    <row r="900" spans="1:51" x14ac:dyDescent="0.3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</row>
    <row r="901" spans="1:51" x14ac:dyDescent="0.3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</row>
    <row r="902" spans="1:51" x14ac:dyDescent="0.3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</row>
    <row r="903" spans="1:51" x14ac:dyDescent="0.3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</row>
    <row r="904" spans="1:51" x14ac:dyDescent="0.3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</row>
    <row r="905" spans="1:51" x14ac:dyDescent="0.3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</row>
    <row r="906" spans="1:51" x14ac:dyDescent="0.3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</row>
    <row r="907" spans="1:51" x14ac:dyDescent="0.3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</row>
    <row r="908" spans="1:51" x14ac:dyDescent="0.3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</row>
    <row r="909" spans="1:51" x14ac:dyDescent="0.3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</row>
    <row r="910" spans="1:51" x14ac:dyDescent="0.3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</row>
    <row r="911" spans="1:51" x14ac:dyDescent="0.3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</row>
    <row r="912" spans="1:51" x14ac:dyDescent="0.3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</row>
    <row r="913" spans="1:51" x14ac:dyDescent="0.3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</row>
    <row r="914" spans="1:51" x14ac:dyDescent="0.3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</row>
    <row r="915" spans="1:51" x14ac:dyDescent="0.3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</row>
    <row r="916" spans="1:51" x14ac:dyDescent="0.3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</row>
    <row r="917" spans="1:51" x14ac:dyDescent="0.3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</row>
    <row r="918" spans="1:51" x14ac:dyDescent="0.3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</row>
    <row r="919" spans="1:51" x14ac:dyDescent="0.3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</row>
    <row r="920" spans="1:51" x14ac:dyDescent="0.3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</row>
    <row r="921" spans="1:51" x14ac:dyDescent="0.3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</row>
    <row r="922" spans="1:51" x14ac:dyDescent="0.3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</row>
    <row r="923" spans="1:51" x14ac:dyDescent="0.3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</row>
    <row r="924" spans="1:51" x14ac:dyDescent="0.3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</row>
    <row r="925" spans="1:51" x14ac:dyDescent="0.3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</row>
    <row r="926" spans="1:51" x14ac:dyDescent="0.3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</row>
    <row r="927" spans="1:51" x14ac:dyDescent="0.3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</row>
    <row r="928" spans="1:51" x14ac:dyDescent="0.3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</row>
    <row r="929" spans="1:51" x14ac:dyDescent="0.3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</row>
    <row r="930" spans="1:51" x14ac:dyDescent="0.3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</row>
    <row r="931" spans="1:51" x14ac:dyDescent="0.3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</row>
    <row r="932" spans="1:51" x14ac:dyDescent="0.3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</row>
    <row r="933" spans="1:51" x14ac:dyDescent="0.3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</row>
    <row r="934" spans="1:51" x14ac:dyDescent="0.3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</row>
    <row r="935" spans="1:51" x14ac:dyDescent="0.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</row>
    <row r="936" spans="1:51" x14ac:dyDescent="0.3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</row>
    <row r="937" spans="1:51" x14ac:dyDescent="0.3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</row>
    <row r="938" spans="1:51" x14ac:dyDescent="0.3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</row>
    <row r="939" spans="1:51" x14ac:dyDescent="0.3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</row>
    <row r="940" spans="1:51" x14ac:dyDescent="0.3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</row>
    <row r="941" spans="1:51" x14ac:dyDescent="0.3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</row>
    <row r="942" spans="1:51" x14ac:dyDescent="0.3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</row>
    <row r="943" spans="1:51" x14ac:dyDescent="0.3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</row>
    <row r="944" spans="1:51" x14ac:dyDescent="0.3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</row>
    <row r="945" spans="1:51" x14ac:dyDescent="0.3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</row>
    <row r="946" spans="1:51" x14ac:dyDescent="0.3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</row>
    <row r="947" spans="1:51" x14ac:dyDescent="0.3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</row>
    <row r="948" spans="1:51" x14ac:dyDescent="0.3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</row>
    <row r="949" spans="1:51" x14ac:dyDescent="0.3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</row>
    <row r="950" spans="1:51" x14ac:dyDescent="0.3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</row>
    <row r="951" spans="1:51" x14ac:dyDescent="0.3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</row>
    <row r="952" spans="1:51" x14ac:dyDescent="0.3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</row>
    <row r="953" spans="1:51" x14ac:dyDescent="0.3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</row>
    <row r="954" spans="1:51" x14ac:dyDescent="0.3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</row>
    <row r="955" spans="1:51" x14ac:dyDescent="0.3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</row>
    <row r="956" spans="1:51" x14ac:dyDescent="0.3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</row>
    <row r="957" spans="1:51" x14ac:dyDescent="0.3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</row>
    <row r="958" spans="1:51" x14ac:dyDescent="0.3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</row>
    <row r="959" spans="1:51" x14ac:dyDescent="0.3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</row>
    <row r="960" spans="1:51" x14ac:dyDescent="0.3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</row>
    <row r="961" spans="1:51" x14ac:dyDescent="0.3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</row>
    <row r="962" spans="1:51" x14ac:dyDescent="0.3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</row>
    <row r="963" spans="1:51" x14ac:dyDescent="0.3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</row>
    <row r="964" spans="1:51" x14ac:dyDescent="0.3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</row>
    <row r="965" spans="1:51" x14ac:dyDescent="0.3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</row>
    <row r="966" spans="1:51" x14ac:dyDescent="0.3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</row>
    <row r="967" spans="1:51" x14ac:dyDescent="0.3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</row>
    <row r="968" spans="1:51" x14ac:dyDescent="0.3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</row>
    <row r="969" spans="1:51" x14ac:dyDescent="0.3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</row>
    <row r="970" spans="1:51" x14ac:dyDescent="0.3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</row>
    <row r="971" spans="1:51" x14ac:dyDescent="0.3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</row>
    <row r="972" spans="1:51" x14ac:dyDescent="0.3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</row>
    <row r="973" spans="1:51" x14ac:dyDescent="0.3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</row>
    <row r="974" spans="1:51" x14ac:dyDescent="0.3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</row>
    <row r="975" spans="1:51" x14ac:dyDescent="0.3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</row>
    <row r="976" spans="1:51" x14ac:dyDescent="0.3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</row>
    <row r="977" spans="1:51" x14ac:dyDescent="0.3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</row>
    <row r="978" spans="1:51" x14ac:dyDescent="0.3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</row>
    <row r="979" spans="1:51" x14ac:dyDescent="0.3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</row>
    <row r="980" spans="1:51" x14ac:dyDescent="0.3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</row>
    <row r="981" spans="1:51" x14ac:dyDescent="0.3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</row>
    <row r="982" spans="1:51" x14ac:dyDescent="0.3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</row>
    <row r="983" spans="1:51" x14ac:dyDescent="0.3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</row>
    <row r="984" spans="1:51" x14ac:dyDescent="0.3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</row>
    <row r="985" spans="1:51" x14ac:dyDescent="0.3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</row>
    <row r="986" spans="1:51" x14ac:dyDescent="0.3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</row>
    <row r="987" spans="1:51" x14ac:dyDescent="0.3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</row>
    <row r="988" spans="1:51" x14ac:dyDescent="0.3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</row>
    <row r="989" spans="1:51" x14ac:dyDescent="0.3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</row>
    <row r="990" spans="1:51" x14ac:dyDescent="0.3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</row>
    <row r="991" spans="1:51" x14ac:dyDescent="0.3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</row>
    <row r="992" spans="1:51" x14ac:dyDescent="0.3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</row>
    <row r="993" spans="1:51" x14ac:dyDescent="0.3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</row>
    <row r="994" spans="1:51" x14ac:dyDescent="0.3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</row>
    <row r="995" spans="1:51" x14ac:dyDescent="0.3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</row>
    <row r="996" spans="1:51" x14ac:dyDescent="0.3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</row>
    <row r="997" spans="1:51" x14ac:dyDescent="0.3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</row>
    <row r="998" spans="1:51" x14ac:dyDescent="0.3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</row>
    <row r="999" spans="1:51" x14ac:dyDescent="0.3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</row>
    <row r="1000" spans="1:51" x14ac:dyDescent="0.3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</row>
    <row r="1001" spans="1:51" x14ac:dyDescent="0.35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24"/>
      <c r="AU1001" s="24"/>
      <c r="AV1001" s="24"/>
      <c r="AW1001" s="24"/>
      <c r="AX1001" s="24"/>
      <c r="AY1001" s="24"/>
    </row>
    <row r="1002" spans="1:51" x14ac:dyDescent="0.35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4"/>
      <c r="AR1002" s="24"/>
      <c r="AS1002" s="24"/>
      <c r="AT1002" s="24"/>
      <c r="AU1002" s="24"/>
      <c r="AV1002" s="24"/>
      <c r="AW1002" s="24"/>
      <c r="AX1002" s="24"/>
      <c r="AY1002" s="24"/>
    </row>
    <row r="1003" spans="1:51" x14ac:dyDescent="0.35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24"/>
      <c r="AU1003" s="24"/>
      <c r="AV1003" s="24"/>
      <c r="AW1003" s="24"/>
      <c r="AX1003" s="24"/>
      <c r="AY1003" s="24"/>
    </row>
    <row r="1004" spans="1:51" x14ac:dyDescent="0.35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  <c r="AG1004" s="24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4"/>
      <c r="AR1004" s="24"/>
      <c r="AS1004" s="24"/>
      <c r="AT1004" s="24"/>
      <c r="AU1004" s="24"/>
      <c r="AV1004" s="24"/>
      <c r="AW1004" s="24"/>
      <c r="AX1004" s="24"/>
      <c r="AY1004" s="24"/>
    </row>
    <row r="1005" spans="1:51" x14ac:dyDescent="0.3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  <c r="AS1005" s="24"/>
      <c r="AT1005" s="24"/>
      <c r="AU1005" s="24"/>
      <c r="AV1005" s="24"/>
      <c r="AW1005" s="24"/>
      <c r="AX1005" s="24"/>
      <c r="AY1005" s="24"/>
    </row>
    <row r="1006" spans="1:51" x14ac:dyDescent="0.35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4"/>
      <c r="AR1006" s="24"/>
      <c r="AS1006" s="24"/>
      <c r="AT1006" s="24"/>
      <c r="AU1006" s="24"/>
      <c r="AV1006" s="24"/>
      <c r="AW1006" s="24"/>
      <c r="AX1006" s="24"/>
      <c r="AY1006" s="24"/>
    </row>
    <row r="1007" spans="1:51" x14ac:dyDescent="0.35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  <c r="AE1007" s="24"/>
      <c r="AF1007" s="24"/>
      <c r="AG1007" s="24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4"/>
      <c r="AR1007" s="24"/>
      <c r="AS1007" s="24"/>
      <c r="AT1007" s="24"/>
      <c r="AU1007" s="24"/>
      <c r="AV1007" s="24"/>
      <c r="AW1007" s="24"/>
      <c r="AX1007" s="24"/>
      <c r="AY1007" s="24"/>
    </row>
    <row r="1008" spans="1:51" x14ac:dyDescent="0.35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  <c r="AC1008" s="24"/>
      <c r="AD1008" s="24"/>
      <c r="AE1008" s="24"/>
      <c r="AF1008" s="24"/>
      <c r="AG1008" s="24"/>
      <c r="AH1008" s="24"/>
      <c r="AI1008" s="24"/>
      <c r="AJ1008" s="24"/>
      <c r="AK1008" s="24"/>
      <c r="AL1008" s="24"/>
      <c r="AM1008" s="24"/>
      <c r="AN1008" s="24"/>
      <c r="AO1008" s="24"/>
      <c r="AP1008" s="24"/>
      <c r="AQ1008" s="24"/>
      <c r="AR1008" s="24"/>
      <c r="AS1008" s="24"/>
      <c r="AT1008" s="24"/>
      <c r="AU1008" s="24"/>
      <c r="AV1008" s="24"/>
      <c r="AW1008" s="24"/>
      <c r="AX1008" s="24"/>
      <c r="AY1008" s="24"/>
    </row>
    <row r="1009" spans="1:51" x14ac:dyDescent="0.35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  <c r="AC1009" s="24"/>
      <c r="AD1009" s="24"/>
      <c r="AE1009" s="24"/>
      <c r="AF1009" s="24"/>
      <c r="AG1009" s="24"/>
      <c r="AH1009" s="24"/>
      <c r="AI1009" s="24"/>
      <c r="AJ1009" s="24"/>
      <c r="AK1009" s="24"/>
      <c r="AL1009" s="24"/>
      <c r="AM1009" s="24"/>
      <c r="AN1009" s="24"/>
      <c r="AO1009" s="24"/>
      <c r="AP1009" s="24"/>
      <c r="AQ1009" s="24"/>
      <c r="AR1009" s="24"/>
      <c r="AS1009" s="24"/>
      <c r="AT1009" s="24"/>
      <c r="AU1009" s="24"/>
      <c r="AV1009" s="24"/>
      <c r="AW1009" s="24"/>
      <c r="AX1009" s="24"/>
      <c r="AY1009" s="24"/>
    </row>
    <row r="1010" spans="1:51" x14ac:dyDescent="0.35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  <c r="AC1010" s="24"/>
      <c r="AD1010" s="24"/>
      <c r="AE1010" s="24"/>
      <c r="AF1010" s="24"/>
      <c r="AG1010" s="24"/>
      <c r="AH1010" s="24"/>
      <c r="AI1010" s="24"/>
      <c r="AJ1010" s="24"/>
      <c r="AK1010" s="24"/>
      <c r="AL1010" s="24"/>
      <c r="AM1010" s="24"/>
      <c r="AN1010" s="24"/>
      <c r="AO1010" s="24"/>
      <c r="AP1010" s="24"/>
      <c r="AQ1010" s="24"/>
      <c r="AR1010" s="24"/>
      <c r="AS1010" s="24"/>
      <c r="AT1010" s="24"/>
      <c r="AU1010" s="24"/>
      <c r="AV1010" s="24"/>
      <c r="AW1010" s="24"/>
      <c r="AX1010" s="24"/>
      <c r="AY1010" s="24"/>
    </row>
    <row r="1011" spans="1:51" x14ac:dyDescent="0.35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  <c r="AC1011" s="24"/>
      <c r="AD1011" s="24"/>
      <c r="AE1011" s="24"/>
      <c r="AF1011" s="24"/>
      <c r="AG1011" s="24"/>
      <c r="AH1011" s="24"/>
      <c r="AI1011" s="24"/>
      <c r="AJ1011" s="24"/>
      <c r="AK1011" s="24"/>
      <c r="AL1011" s="24"/>
      <c r="AM1011" s="24"/>
      <c r="AN1011" s="24"/>
      <c r="AO1011" s="24"/>
      <c r="AP1011" s="24"/>
      <c r="AQ1011" s="24"/>
      <c r="AR1011" s="24"/>
      <c r="AS1011" s="24"/>
      <c r="AT1011" s="24"/>
      <c r="AU1011" s="24"/>
      <c r="AV1011" s="24"/>
      <c r="AW1011" s="24"/>
      <c r="AX1011" s="24"/>
      <c r="AY1011" s="24"/>
    </row>
    <row r="1012" spans="1:51" x14ac:dyDescent="0.35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  <c r="AD1012" s="24"/>
      <c r="AE1012" s="24"/>
      <c r="AF1012" s="24"/>
      <c r="AG1012" s="24"/>
      <c r="AH1012" s="24"/>
      <c r="AI1012" s="24"/>
      <c r="AJ1012" s="24"/>
      <c r="AK1012" s="24"/>
      <c r="AL1012" s="24"/>
      <c r="AM1012" s="24"/>
      <c r="AN1012" s="24"/>
      <c r="AO1012" s="24"/>
      <c r="AP1012" s="24"/>
      <c r="AQ1012" s="24"/>
      <c r="AR1012" s="24"/>
      <c r="AS1012" s="24"/>
      <c r="AT1012" s="24"/>
      <c r="AU1012" s="24"/>
      <c r="AV1012" s="24"/>
      <c r="AW1012" s="24"/>
      <c r="AX1012" s="24"/>
      <c r="AY1012" s="24"/>
    </row>
    <row r="1013" spans="1:51" x14ac:dyDescent="0.35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  <c r="AE1013" s="24"/>
      <c r="AF1013" s="24"/>
      <c r="AG1013" s="24"/>
      <c r="AH1013" s="24"/>
      <c r="AI1013" s="24"/>
      <c r="AJ1013" s="24"/>
      <c r="AK1013" s="24"/>
      <c r="AL1013" s="24"/>
      <c r="AM1013" s="24"/>
      <c r="AN1013" s="24"/>
      <c r="AO1013" s="24"/>
      <c r="AP1013" s="24"/>
      <c r="AQ1013" s="24"/>
      <c r="AR1013" s="24"/>
      <c r="AS1013" s="24"/>
      <c r="AT1013" s="24"/>
      <c r="AU1013" s="24"/>
      <c r="AV1013" s="24"/>
      <c r="AW1013" s="24"/>
      <c r="AX1013" s="24"/>
      <c r="AY1013" s="24"/>
    </row>
    <row r="1014" spans="1:51" x14ac:dyDescent="0.35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  <c r="AE1014" s="24"/>
      <c r="AF1014" s="24"/>
      <c r="AG1014" s="24"/>
      <c r="AH1014" s="24"/>
      <c r="AI1014" s="24"/>
      <c r="AJ1014" s="24"/>
      <c r="AK1014" s="24"/>
      <c r="AL1014" s="24"/>
      <c r="AM1014" s="24"/>
      <c r="AN1014" s="24"/>
      <c r="AO1014" s="24"/>
      <c r="AP1014" s="24"/>
      <c r="AQ1014" s="24"/>
      <c r="AR1014" s="24"/>
      <c r="AS1014" s="24"/>
      <c r="AT1014" s="24"/>
      <c r="AU1014" s="24"/>
      <c r="AV1014" s="24"/>
      <c r="AW1014" s="24"/>
      <c r="AX1014" s="24"/>
      <c r="AY1014" s="24"/>
    </row>
    <row r="1015" spans="1:51" x14ac:dyDescent="0.35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  <c r="AC1015" s="24"/>
      <c r="AD1015" s="24"/>
      <c r="AE1015" s="24"/>
      <c r="AF1015" s="24"/>
      <c r="AG1015" s="24"/>
      <c r="AH1015" s="24"/>
      <c r="AI1015" s="24"/>
      <c r="AJ1015" s="24"/>
      <c r="AK1015" s="24"/>
      <c r="AL1015" s="24"/>
      <c r="AM1015" s="24"/>
      <c r="AN1015" s="24"/>
      <c r="AO1015" s="24"/>
      <c r="AP1015" s="24"/>
      <c r="AQ1015" s="24"/>
      <c r="AR1015" s="24"/>
      <c r="AS1015" s="24"/>
      <c r="AT1015" s="24"/>
      <c r="AU1015" s="24"/>
      <c r="AV1015" s="24"/>
      <c r="AW1015" s="24"/>
      <c r="AX1015" s="24"/>
      <c r="AY1015" s="24"/>
    </row>
    <row r="1016" spans="1:51" x14ac:dyDescent="0.35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  <c r="AG1016" s="24"/>
      <c r="AH1016" s="24"/>
      <c r="AI1016" s="24"/>
      <c r="AJ1016" s="24"/>
      <c r="AK1016" s="24"/>
      <c r="AL1016" s="24"/>
      <c r="AM1016" s="24"/>
      <c r="AN1016" s="24"/>
      <c r="AO1016" s="24"/>
      <c r="AP1016" s="24"/>
      <c r="AQ1016" s="24"/>
      <c r="AR1016" s="24"/>
      <c r="AS1016" s="24"/>
      <c r="AT1016" s="24"/>
      <c r="AU1016" s="24"/>
      <c r="AV1016" s="24"/>
      <c r="AW1016" s="24"/>
      <c r="AX1016" s="24"/>
      <c r="AY1016" s="24"/>
    </row>
    <row r="1017" spans="1:51" x14ac:dyDescent="0.35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  <c r="AC1017" s="24"/>
      <c r="AD1017" s="24"/>
      <c r="AE1017" s="24"/>
      <c r="AF1017" s="24"/>
      <c r="AG1017" s="24"/>
      <c r="AH1017" s="24"/>
      <c r="AI1017" s="24"/>
      <c r="AJ1017" s="24"/>
      <c r="AK1017" s="24"/>
      <c r="AL1017" s="24"/>
      <c r="AM1017" s="24"/>
      <c r="AN1017" s="24"/>
      <c r="AO1017" s="24"/>
      <c r="AP1017" s="24"/>
      <c r="AQ1017" s="24"/>
      <c r="AR1017" s="24"/>
      <c r="AS1017" s="24"/>
      <c r="AT1017" s="24"/>
      <c r="AU1017" s="24"/>
      <c r="AV1017" s="24"/>
      <c r="AW1017" s="24"/>
      <c r="AX1017" s="24"/>
      <c r="AY1017" s="24"/>
    </row>
    <row r="1018" spans="1:51" x14ac:dyDescent="0.35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24"/>
      <c r="AD1018" s="24"/>
      <c r="AE1018" s="24"/>
      <c r="AF1018" s="24"/>
      <c r="AG1018" s="24"/>
      <c r="AH1018" s="24"/>
      <c r="AI1018" s="24"/>
      <c r="AJ1018" s="24"/>
      <c r="AK1018" s="24"/>
      <c r="AL1018" s="24"/>
      <c r="AM1018" s="24"/>
      <c r="AN1018" s="24"/>
      <c r="AO1018" s="24"/>
      <c r="AP1018" s="24"/>
      <c r="AQ1018" s="24"/>
      <c r="AR1018" s="24"/>
      <c r="AS1018" s="24"/>
      <c r="AT1018" s="24"/>
      <c r="AU1018" s="24"/>
      <c r="AV1018" s="24"/>
      <c r="AW1018" s="24"/>
      <c r="AX1018" s="24"/>
      <c r="AY1018" s="24"/>
    </row>
    <row r="1019" spans="1:51" x14ac:dyDescent="0.35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  <c r="AE1019" s="24"/>
      <c r="AF1019" s="24"/>
      <c r="AG1019" s="24"/>
      <c r="AH1019" s="24"/>
      <c r="AI1019" s="24"/>
      <c r="AJ1019" s="24"/>
      <c r="AK1019" s="24"/>
      <c r="AL1019" s="24"/>
      <c r="AM1019" s="24"/>
      <c r="AN1019" s="24"/>
      <c r="AO1019" s="24"/>
      <c r="AP1019" s="24"/>
      <c r="AQ1019" s="24"/>
      <c r="AR1019" s="24"/>
      <c r="AS1019" s="24"/>
      <c r="AT1019" s="24"/>
      <c r="AU1019" s="24"/>
      <c r="AV1019" s="24"/>
      <c r="AW1019" s="24"/>
      <c r="AX1019" s="24"/>
      <c r="AY1019" s="24"/>
    </row>
    <row r="1020" spans="1:51" x14ac:dyDescent="0.35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24"/>
      <c r="AD1020" s="24"/>
      <c r="AE1020" s="24"/>
      <c r="AF1020" s="24"/>
      <c r="AG1020" s="24"/>
      <c r="AH1020" s="24"/>
      <c r="AI1020" s="24"/>
      <c r="AJ1020" s="24"/>
      <c r="AK1020" s="24"/>
      <c r="AL1020" s="24"/>
      <c r="AM1020" s="24"/>
      <c r="AN1020" s="24"/>
      <c r="AO1020" s="24"/>
      <c r="AP1020" s="24"/>
      <c r="AQ1020" s="24"/>
      <c r="AR1020" s="24"/>
      <c r="AS1020" s="24"/>
      <c r="AT1020" s="24"/>
      <c r="AU1020" s="24"/>
      <c r="AV1020" s="24"/>
      <c r="AW1020" s="24"/>
      <c r="AX1020" s="24"/>
      <c r="AY1020" s="24"/>
    </row>
    <row r="1021" spans="1:51" x14ac:dyDescent="0.35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  <c r="AC1021" s="24"/>
      <c r="AD1021" s="24"/>
      <c r="AE1021" s="24"/>
      <c r="AF1021" s="24"/>
      <c r="AG1021" s="24"/>
      <c r="AH1021" s="24"/>
      <c r="AI1021" s="24"/>
      <c r="AJ1021" s="24"/>
      <c r="AK1021" s="24"/>
      <c r="AL1021" s="24"/>
      <c r="AM1021" s="24"/>
      <c r="AN1021" s="24"/>
      <c r="AO1021" s="24"/>
      <c r="AP1021" s="24"/>
      <c r="AQ1021" s="24"/>
      <c r="AR1021" s="24"/>
      <c r="AS1021" s="24"/>
      <c r="AT1021" s="24"/>
      <c r="AU1021" s="24"/>
      <c r="AV1021" s="24"/>
      <c r="AW1021" s="24"/>
      <c r="AX1021" s="24"/>
      <c r="AY1021" s="24"/>
    </row>
    <row r="1022" spans="1:51" x14ac:dyDescent="0.35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  <c r="AD1022" s="24"/>
      <c r="AE1022" s="24"/>
      <c r="AF1022" s="24"/>
      <c r="AG1022" s="24"/>
      <c r="AH1022" s="24"/>
      <c r="AI1022" s="24"/>
      <c r="AJ1022" s="24"/>
      <c r="AK1022" s="24"/>
      <c r="AL1022" s="24"/>
      <c r="AM1022" s="24"/>
      <c r="AN1022" s="24"/>
      <c r="AO1022" s="24"/>
      <c r="AP1022" s="24"/>
      <c r="AQ1022" s="24"/>
      <c r="AR1022" s="24"/>
      <c r="AS1022" s="24"/>
      <c r="AT1022" s="24"/>
      <c r="AU1022" s="24"/>
      <c r="AV1022" s="24"/>
      <c r="AW1022" s="24"/>
      <c r="AX1022" s="24"/>
      <c r="AY1022" s="24"/>
    </row>
    <row r="1023" spans="1:51" x14ac:dyDescent="0.35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  <c r="AC1023" s="24"/>
      <c r="AD1023" s="24"/>
      <c r="AE1023" s="24"/>
      <c r="AF1023" s="24"/>
      <c r="AG1023" s="24"/>
      <c r="AH1023" s="24"/>
      <c r="AI1023" s="24"/>
      <c r="AJ1023" s="24"/>
      <c r="AK1023" s="24"/>
      <c r="AL1023" s="24"/>
      <c r="AM1023" s="24"/>
      <c r="AN1023" s="24"/>
      <c r="AO1023" s="24"/>
      <c r="AP1023" s="24"/>
      <c r="AQ1023" s="24"/>
      <c r="AR1023" s="24"/>
      <c r="AS1023" s="24"/>
      <c r="AT1023" s="24"/>
      <c r="AU1023" s="24"/>
      <c r="AV1023" s="24"/>
      <c r="AW1023" s="24"/>
      <c r="AX1023" s="24"/>
      <c r="AY1023" s="24"/>
    </row>
    <row r="1024" spans="1:51" x14ac:dyDescent="0.35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  <c r="AE1024" s="24"/>
      <c r="AF1024" s="24"/>
      <c r="AG1024" s="24"/>
      <c r="AH1024" s="24"/>
      <c r="AI1024" s="24"/>
      <c r="AJ1024" s="24"/>
      <c r="AK1024" s="24"/>
      <c r="AL1024" s="24"/>
      <c r="AM1024" s="24"/>
      <c r="AN1024" s="24"/>
      <c r="AO1024" s="24"/>
      <c r="AP1024" s="24"/>
      <c r="AQ1024" s="24"/>
      <c r="AR1024" s="24"/>
      <c r="AS1024" s="24"/>
      <c r="AT1024" s="24"/>
      <c r="AU1024" s="24"/>
      <c r="AV1024" s="24"/>
      <c r="AW1024" s="24"/>
      <c r="AX1024" s="24"/>
      <c r="AY1024" s="24"/>
    </row>
    <row r="1025" spans="1:51" x14ac:dyDescent="0.35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4"/>
      <c r="AC1025" s="24"/>
      <c r="AD1025" s="24"/>
      <c r="AE1025" s="24"/>
      <c r="AF1025" s="24"/>
      <c r="AG1025" s="24"/>
      <c r="AH1025" s="24"/>
      <c r="AI1025" s="24"/>
      <c r="AJ1025" s="24"/>
      <c r="AK1025" s="24"/>
      <c r="AL1025" s="24"/>
      <c r="AM1025" s="24"/>
      <c r="AN1025" s="24"/>
      <c r="AO1025" s="24"/>
      <c r="AP1025" s="24"/>
      <c r="AQ1025" s="24"/>
      <c r="AR1025" s="24"/>
      <c r="AS1025" s="24"/>
      <c r="AT1025" s="24"/>
      <c r="AU1025" s="24"/>
      <c r="AV1025" s="24"/>
      <c r="AW1025" s="24"/>
      <c r="AX1025" s="24"/>
      <c r="AY1025" s="24"/>
    </row>
    <row r="1026" spans="1:51" x14ac:dyDescent="0.35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  <c r="AC1026" s="24"/>
      <c r="AD1026" s="24"/>
      <c r="AE1026" s="24"/>
      <c r="AF1026" s="24"/>
      <c r="AG1026" s="24"/>
      <c r="AH1026" s="24"/>
      <c r="AI1026" s="24"/>
      <c r="AJ1026" s="24"/>
      <c r="AK1026" s="24"/>
      <c r="AL1026" s="24"/>
      <c r="AM1026" s="24"/>
      <c r="AN1026" s="24"/>
      <c r="AO1026" s="24"/>
      <c r="AP1026" s="24"/>
      <c r="AQ1026" s="24"/>
      <c r="AR1026" s="24"/>
      <c r="AS1026" s="24"/>
      <c r="AT1026" s="24"/>
      <c r="AU1026" s="24"/>
      <c r="AV1026" s="24"/>
      <c r="AW1026" s="24"/>
      <c r="AX1026" s="24"/>
      <c r="AY1026" s="24"/>
    </row>
    <row r="1027" spans="1:51" x14ac:dyDescent="0.35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  <c r="AB1027" s="24"/>
      <c r="AC1027" s="24"/>
      <c r="AD1027" s="24"/>
      <c r="AE1027" s="24"/>
      <c r="AF1027" s="24"/>
      <c r="AG1027" s="24"/>
      <c r="AH1027" s="24"/>
      <c r="AI1027" s="24"/>
      <c r="AJ1027" s="24"/>
      <c r="AK1027" s="24"/>
      <c r="AL1027" s="24"/>
      <c r="AM1027" s="24"/>
      <c r="AN1027" s="24"/>
      <c r="AO1027" s="24"/>
      <c r="AP1027" s="24"/>
      <c r="AQ1027" s="24"/>
      <c r="AR1027" s="24"/>
      <c r="AS1027" s="24"/>
      <c r="AT1027" s="24"/>
      <c r="AU1027" s="24"/>
      <c r="AV1027" s="24"/>
      <c r="AW1027" s="24"/>
      <c r="AX1027" s="24"/>
      <c r="AY1027" s="24"/>
    </row>
    <row r="1028" spans="1:51" x14ac:dyDescent="0.35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  <c r="AB1028" s="24"/>
      <c r="AC1028" s="24"/>
      <c r="AD1028" s="24"/>
      <c r="AE1028" s="24"/>
      <c r="AF1028" s="24"/>
      <c r="AG1028" s="24"/>
      <c r="AH1028" s="24"/>
      <c r="AI1028" s="24"/>
      <c r="AJ1028" s="24"/>
      <c r="AK1028" s="24"/>
      <c r="AL1028" s="24"/>
      <c r="AM1028" s="24"/>
      <c r="AN1028" s="24"/>
      <c r="AO1028" s="24"/>
      <c r="AP1028" s="24"/>
      <c r="AQ1028" s="24"/>
      <c r="AR1028" s="24"/>
      <c r="AS1028" s="24"/>
      <c r="AT1028" s="24"/>
      <c r="AU1028" s="24"/>
      <c r="AV1028" s="24"/>
      <c r="AW1028" s="24"/>
      <c r="AX1028" s="24"/>
      <c r="AY1028" s="24"/>
    </row>
    <row r="1029" spans="1:51" x14ac:dyDescent="0.35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  <c r="AC1029" s="24"/>
      <c r="AD1029" s="24"/>
      <c r="AE1029" s="24"/>
      <c r="AF1029" s="24"/>
      <c r="AG1029" s="24"/>
      <c r="AH1029" s="24"/>
      <c r="AI1029" s="24"/>
      <c r="AJ1029" s="24"/>
      <c r="AK1029" s="24"/>
      <c r="AL1029" s="24"/>
      <c r="AM1029" s="24"/>
      <c r="AN1029" s="24"/>
      <c r="AO1029" s="24"/>
      <c r="AP1029" s="24"/>
      <c r="AQ1029" s="24"/>
      <c r="AR1029" s="24"/>
      <c r="AS1029" s="24"/>
      <c r="AT1029" s="24"/>
      <c r="AU1029" s="24"/>
      <c r="AV1029" s="24"/>
      <c r="AW1029" s="24"/>
      <c r="AX1029" s="24"/>
      <c r="AY1029" s="24"/>
    </row>
    <row r="1030" spans="1:51" x14ac:dyDescent="0.35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4"/>
      <c r="AC1030" s="24"/>
      <c r="AD1030" s="24"/>
      <c r="AE1030" s="24"/>
      <c r="AF1030" s="24"/>
      <c r="AG1030" s="24"/>
      <c r="AH1030" s="24"/>
      <c r="AI1030" s="24"/>
      <c r="AJ1030" s="24"/>
      <c r="AK1030" s="24"/>
      <c r="AL1030" s="24"/>
      <c r="AM1030" s="24"/>
      <c r="AN1030" s="24"/>
      <c r="AO1030" s="24"/>
      <c r="AP1030" s="24"/>
      <c r="AQ1030" s="24"/>
      <c r="AR1030" s="24"/>
      <c r="AS1030" s="24"/>
      <c r="AT1030" s="24"/>
      <c r="AU1030" s="24"/>
      <c r="AV1030" s="24"/>
      <c r="AW1030" s="24"/>
      <c r="AX1030" s="24"/>
      <c r="AY1030" s="24"/>
    </row>
    <row r="1031" spans="1:51" x14ac:dyDescent="0.35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  <c r="AE1031" s="24"/>
      <c r="AF1031" s="24"/>
      <c r="AG1031" s="24"/>
      <c r="AH1031" s="24"/>
      <c r="AI1031" s="24"/>
      <c r="AJ1031" s="24"/>
      <c r="AK1031" s="24"/>
      <c r="AL1031" s="24"/>
      <c r="AM1031" s="24"/>
      <c r="AN1031" s="24"/>
      <c r="AO1031" s="24"/>
      <c r="AP1031" s="24"/>
      <c r="AQ1031" s="24"/>
      <c r="AR1031" s="24"/>
      <c r="AS1031" s="24"/>
      <c r="AT1031" s="24"/>
      <c r="AU1031" s="24"/>
      <c r="AV1031" s="24"/>
      <c r="AW1031" s="24"/>
      <c r="AX1031" s="24"/>
      <c r="AY1031" s="24"/>
    </row>
    <row r="1032" spans="1:51" x14ac:dyDescent="0.35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  <c r="AA1032" s="24"/>
      <c r="AB1032" s="24"/>
      <c r="AC1032" s="24"/>
      <c r="AD1032" s="24"/>
      <c r="AE1032" s="24"/>
      <c r="AF1032" s="24"/>
      <c r="AG1032" s="24"/>
      <c r="AH1032" s="24"/>
      <c r="AI1032" s="24"/>
      <c r="AJ1032" s="24"/>
      <c r="AK1032" s="24"/>
      <c r="AL1032" s="24"/>
      <c r="AM1032" s="24"/>
      <c r="AN1032" s="24"/>
      <c r="AO1032" s="24"/>
      <c r="AP1032" s="24"/>
      <c r="AQ1032" s="24"/>
      <c r="AR1032" s="24"/>
      <c r="AS1032" s="24"/>
      <c r="AT1032" s="24"/>
      <c r="AU1032" s="24"/>
      <c r="AV1032" s="24"/>
      <c r="AW1032" s="24"/>
      <c r="AX1032" s="24"/>
      <c r="AY1032" s="24"/>
    </row>
    <row r="1033" spans="1:51" x14ac:dyDescent="0.35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  <c r="AA1033" s="24"/>
      <c r="AB1033" s="24"/>
      <c r="AC1033" s="24"/>
      <c r="AD1033" s="24"/>
      <c r="AE1033" s="24"/>
      <c r="AF1033" s="24"/>
      <c r="AG1033" s="24"/>
      <c r="AH1033" s="24"/>
      <c r="AI1033" s="24"/>
      <c r="AJ1033" s="24"/>
      <c r="AK1033" s="24"/>
      <c r="AL1033" s="24"/>
      <c r="AM1033" s="24"/>
      <c r="AN1033" s="24"/>
      <c r="AO1033" s="24"/>
      <c r="AP1033" s="24"/>
      <c r="AQ1033" s="24"/>
      <c r="AR1033" s="24"/>
      <c r="AS1033" s="24"/>
      <c r="AT1033" s="24"/>
      <c r="AU1033" s="24"/>
      <c r="AV1033" s="24"/>
      <c r="AW1033" s="24"/>
      <c r="AX1033" s="24"/>
      <c r="AY1033" s="24"/>
    </row>
    <row r="1034" spans="1:51" x14ac:dyDescent="0.35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  <c r="AA1034" s="24"/>
      <c r="AB1034" s="24"/>
      <c r="AC1034" s="24"/>
      <c r="AD1034" s="24"/>
      <c r="AE1034" s="24"/>
      <c r="AF1034" s="24"/>
      <c r="AG1034" s="24"/>
      <c r="AH1034" s="24"/>
      <c r="AI1034" s="24"/>
      <c r="AJ1034" s="24"/>
      <c r="AK1034" s="24"/>
      <c r="AL1034" s="24"/>
      <c r="AM1034" s="24"/>
      <c r="AN1034" s="24"/>
      <c r="AO1034" s="24"/>
      <c r="AP1034" s="24"/>
      <c r="AQ1034" s="24"/>
      <c r="AR1034" s="24"/>
      <c r="AS1034" s="24"/>
      <c r="AT1034" s="24"/>
      <c r="AU1034" s="24"/>
      <c r="AV1034" s="24"/>
      <c r="AW1034" s="24"/>
      <c r="AX1034" s="24"/>
      <c r="AY1034" s="24"/>
    </row>
    <row r="1035" spans="1:51" x14ac:dyDescent="0.35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  <c r="AC1035" s="24"/>
      <c r="AD1035" s="24"/>
      <c r="AE1035" s="24"/>
      <c r="AF1035" s="24"/>
      <c r="AG1035" s="24"/>
      <c r="AH1035" s="24"/>
      <c r="AI1035" s="24"/>
      <c r="AJ1035" s="24"/>
      <c r="AK1035" s="24"/>
      <c r="AL1035" s="24"/>
      <c r="AM1035" s="24"/>
      <c r="AN1035" s="24"/>
      <c r="AO1035" s="24"/>
      <c r="AP1035" s="24"/>
      <c r="AQ1035" s="24"/>
      <c r="AR1035" s="24"/>
      <c r="AS1035" s="24"/>
      <c r="AT1035" s="24"/>
      <c r="AU1035" s="24"/>
      <c r="AV1035" s="24"/>
      <c r="AW1035" s="24"/>
      <c r="AX1035" s="24"/>
      <c r="AY1035" s="24"/>
    </row>
    <row r="1036" spans="1:51" x14ac:dyDescent="0.35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  <c r="AC1036" s="24"/>
      <c r="AD1036" s="24"/>
      <c r="AE1036" s="24"/>
      <c r="AF1036" s="24"/>
      <c r="AG1036" s="24"/>
      <c r="AH1036" s="24"/>
      <c r="AI1036" s="24"/>
      <c r="AJ1036" s="24"/>
      <c r="AK1036" s="24"/>
      <c r="AL1036" s="24"/>
      <c r="AM1036" s="24"/>
      <c r="AN1036" s="24"/>
      <c r="AO1036" s="24"/>
      <c r="AP1036" s="24"/>
      <c r="AQ1036" s="24"/>
      <c r="AR1036" s="24"/>
      <c r="AS1036" s="24"/>
      <c r="AT1036" s="24"/>
      <c r="AU1036" s="24"/>
      <c r="AV1036" s="24"/>
      <c r="AW1036" s="24"/>
      <c r="AX1036" s="24"/>
      <c r="AY1036" s="24"/>
    </row>
    <row r="1037" spans="1:51" x14ac:dyDescent="0.35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4"/>
      <c r="AD1037" s="24"/>
      <c r="AE1037" s="24"/>
      <c r="AF1037" s="24"/>
      <c r="AG1037" s="24"/>
      <c r="AH1037" s="24"/>
      <c r="AI1037" s="24"/>
      <c r="AJ1037" s="24"/>
      <c r="AK1037" s="24"/>
      <c r="AL1037" s="24"/>
      <c r="AM1037" s="24"/>
      <c r="AN1037" s="24"/>
      <c r="AO1037" s="24"/>
      <c r="AP1037" s="24"/>
      <c r="AQ1037" s="24"/>
      <c r="AR1037" s="24"/>
      <c r="AS1037" s="24"/>
      <c r="AT1037" s="24"/>
      <c r="AU1037" s="24"/>
      <c r="AV1037" s="24"/>
      <c r="AW1037" s="24"/>
      <c r="AX1037" s="24"/>
      <c r="AY1037" s="24"/>
    </row>
    <row r="1038" spans="1:51" x14ac:dyDescent="0.35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  <c r="AA1038" s="24"/>
      <c r="AB1038" s="24"/>
      <c r="AC1038" s="24"/>
      <c r="AD1038" s="24"/>
      <c r="AE1038" s="24"/>
      <c r="AF1038" s="24"/>
      <c r="AG1038" s="24"/>
      <c r="AH1038" s="24"/>
      <c r="AI1038" s="24"/>
      <c r="AJ1038" s="24"/>
      <c r="AK1038" s="24"/>
      <c r="AL1038" s="24"/>
      <c r="AM1038" s="24"/>
      <c r="AN1038" s="24"/>
      <c r="AO1038" s="24"/>
      <c r="AP1038" s="24"/>
      <c r="AQ1038" s="24"/>
      <c r="AR1038" s="24"/>
      <c r="AS1038" s="24"/>
      <c r="AT1038" s="24"/>
      <c r="AU1038" s="24"/>
      <c r="AV1038" s="24"/>
      <c r="AW1038" s="24"/>
      <c r="AX1038" s="24"/>
      <c r="AY1038" s="24"/>
    </row>
    <row r="1039" spans="1:51" x14ac:dyDescent="0.35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  <c r="AC1039" s="24"/>
      <c r="AD1039" s="24"/>
      <c r="AE1039" s="24"/>
      <c r="AF1039" s="24"/>
      <c r="AG1039" s="24"/>
      <c r="AH1039" s="24"/>
      <c r="AI1039" s="24"/>
      <c r="AJ1039" s="24"/>
      <c r="AK1039" s="24"/>
      <c r="AL1039" s="24"/>
      <c r="AM1039" s="24"/>
      <c r="AN1039" s="24"/>
      <c r="AO1039" s="24"/>
      <c r="AP1039" s="24"/>
      <c r="AQ1039" s="24"/>
      <c r="AR1039" s="24"/>
      <c r="AS1039" s="24"/>
      <c r="AT1039" s="24"/>
      <c r="AU1039" s="24"/>
      <c r="AV1039" s="24"/>
      <c r="AW1039" s="24"/>
      <c r="AX1039" s="24"/>
      <c r="AY1039" s="24"/>
    </row>
    <row r="1040" spans="1:51" x14ac:dyDescent="0.35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  <c r="AA1040" s="24"/>
      <c r="AB1040" s="24"/>
      <c r="AC1040" s="24"/>
      <c r="AD1040" s="24"/>
      <c r="AE1040" s="24"/>
      <c r="AF1040" s="24"/>
      <c r="AG1040" s="24"/>
      <c r="AH1040" s="24"/>
      <c r="AI1040" s="24"/>
      <c r="AJ1040" s="24"/>
      <c r="AK1040" s="24"/>
      <c r="AL1040" s="24"/>
      <c r="AM1040" s="24"/>
      <c r="AN1040" s="24"/>
      <c r="AO1040" s="24"/>
      <c r="AP1040" s="24"/>
      <c r="AQ1040" s="24"/>
      <c r="AR1040" s="24"/>
      <c r="AS1040" s="24"/>
      <c r="AT1040" s="24"/>
      <c r="AU1040" s="24"/>
      <c r="AV1040" s="24"/>
      <c r="AW1040" s="24"/>
      <c r="AX1040" s="24"/>
      <c r="AY1040" s="24"/>
    </row>
    <row r="1041" spans="1:51" x14ac:dyDescent="0.35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  <c r="AA1041" s="24"/>
      <c r="AB1041" s="24"/>
      <c r="AC1041" s="24"/>
      <c r="AD1041" s="24"/>
      <c r="AE1041" s="24"/>
      <c r="AF1041" s="24"/>
      <c r="AG1041" s="24"/>
      <c r="AH1041" s="24"/>
      <c r="AI1041" s="24"/>
      <c r="AJ1041" s="24"/>
      <c r="AK1041" s="24"/>
      <c r="AL1041" s="24"/>
      <c r="AM1041" s="24"/>
      <c r="AN1041" s="24"/>
      <c r="AO1041" s="24"/>
      <c r="AP1041" s="24"/>
      <c r="AQ1041" s="24"/>
      <c r="AR1041" s="24"/>
      <c r="AS1041" s="24"/>
      <c r="AT1041" s="24"/>
      <c r="AU1041" s="24"/>
      <c r="AV1041" s="24"/>
      <c r="AW1041" s="24"/>
      <c r="AX1041" s="24"/>
      <c r="AY1041" s="24"/>
    </row>
    <row r="1042" spans="1:51" x14ac:dyDescent="0.35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4"/>
      <c r="AC1042" s="24"/>
      <c r="AD1042" s="24"/>
      <c r="AE1042" s="24"/>
      <c r="AF1042" s="24"/>
      <c r="AG1042" s="24"/>
      <c r="AH1042" s="24"/>
      <c r="AI1042" s="24"/>
      <c r="AJ1042" s="24"/>
      <c r="AK1042" s="24"/>
      <c r="AL1042" s="24"/>
      <c r="AM1042" s="24"/>
      <c r="AN1042" s="24"/>
      <c r="AO1042" s="24"/>
      <c r="AP1042" s="24"/>
      <c r="AQ1042" s="24"/>
      <c r="AR1042" s="24"/>
      <c r="AS1042" s="24"/>
      <c r="AT1042" s="24"/>
      <c r="AU1042" s="24"/>
      <c r="AV1042" s="24"/>
      <c r="AW1042" s="24"/>
      <c r="AX1042" s="24"/>
      <c r="AY1042" s="24"/>
    </row>
    <row r="1043" spans="1:51" x14ac:dyDescent="0.35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  <c r="AE1043" s="24"/>
      <c r="AF1043" s="24"/>
      <c r="AG1043" s="24"/>
      <c r="AH1043" s="24"/>
      <c r="AI1043" s="24"/>
      <c r="AJ1043" s="24"/>
      <c r="AK1043" s="24"/>
      <c r="AL1043" s="24"/>
      <c r="AM1043" s="24"/>
      <c r="AN1043" s="24"/>
      <c r="AO1043" s="24"/>
      <c r="AP1043" s="24"/>
      <c r="AQ1043" s="24"/>
      <c r="AR1043" s="24"/>
      <c r="AS1043" s="24"/>
      <c r="AT1043" s="24"/>
      <c r="AU1043" s="24"/>
      <c r="AV1043" s="24"/>
      <c r="AW1043" s="24"/>
      <c r="AX1043" s="24"/>
      <c r="AY1043" s="24"/>
    </row>
    <row r="1044" spans="1:51" x14ac:dyDescent="0.35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  <c r="AA1044" s="24"/>
      <c r="AB1044" s="24"/>
      <c r="AC1044" s="24"/>
      <c r="AD1044" s="24"/>
      <c r="AE1044" s="24"/>
      <c r="AF1044" s="24"/>
      <c r="AG1044" s="24"/>
      <c r="AH1044" s="24"/>
      <c r="AI1044" s="24"/>
      <c r="AJ1044" s="24"/>
      <c r="AK1044" s="24"/>
      <c r="AL1044" s="24"/>
      <c r="AM1044" s="24"/>
      <c r="AN1044" s="24"/>
      <c r="AO1044" s="24"/>
      <c r="AP1044" s="24"/>
      <c r="AQ1044" s="24"/>
      <c r="AR1044" s="24"/>
      <c r="AS1044" s="24"/>
      <c r="AT1044" s="24"/>
      <c r="AU1044" s="24"/>
      <c r="AV1044" s="24"/>
      <c r="AW1044" s="24"/>
      <c r="AX1044" s="24"/>
      <c r="AY1044" s="24"/>
    </row>
    <row r="1045" spans="1:51" x14ac:dyDescent="0.35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  <c r="AC1045" s="24"/>
      <c r="AD1045" s="24"/>
      <c r="AE1045" s="24"/>
      <c r="AF1045" s="24"/>
      <c r="AG1045" s="24"/>
      <c r="AH1045" s="24"/>
      <c r="AI1045" s="24"/>
      <c r="AJ1045" s="24"/>
      <c r="AK1045" s="24"/>
      <c r="AL1045" s="24"/>
      <c r="AM1045" s="24"/>
      <c r="AN1045" s="24"/>
      <c r="AO1045" s="24"/>
      <c r="AP1045" s="24"/>
      <c r="AQ1045" s="24"/>
      <c r="AR1045" s="24"/>
      <c r="AS1045" s="24"/>
      <c r="AT1045" s="24"/>
      <c r="AU1045" s="24"/>
      <c r="AV1045" s="24"/>
      <c r="AW1045" s="24"/>
      <c r="AX1045" s="24"/>
      <c r="AY1045" s="24"/>
    </row>
    <row r="1046" spans="1:51" x14ac:dyDescent="0.35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  <c r="AA1046" s="24"/>
      <c r="AB1046" s="24"/>
      <c r="AC1046" s="24"/>
      <c r="AD1046" s="24"/>
      <c r="AE1046" s="24"/>
      <c r="AF1046" s="24"/>
      <c r="AG1046" s="24"/>
      <c r="AH1046" s="24"/>
      <c r="AI1046" s="24"/>
      <c r="AJ1046" s="24"/>
      <c r="AK1046" s="24"/>
      <c r="AL1046" s="24"/>
      <c r="AM1046" s="24"/>
      <c r="AN1046" s="24"/>
      <c r="AO1046" s="24"/>
      <c r="AP1046" s="24"/>
      <c r="AQ1046" s="24"/>
      <c r="AR1046" s="24"/>
      <c r="AS1046" s="24"/>
      <c r="AT1046" s="24"/>
      <c r="AU1046" s="24"/>
      <c r="AV1046" s="24"/>
      <c r="AW1046" s="24"/>
      <c r="AX1046" s="24"/>
      <c r="AY1046" s="24"/>
    </row>
    <row r="1047" spans="1:51" x14ac:dyDescent="0.35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  <c r="AA1047" s="24"/>
      <c r="AB1047" s="24"/>
      <c r="AC1047" s="24"/>
      <c r="AD1047" s="24"/>
      <c r="AE1047" s="24"/>
      <c r="AF1047" s="24"/>
      <c r="AG1047" s="24"/>
      <c r="AH1047" s="24"/>
      <c r="AI1047" s="24"/>
      <c r="AJ1047" s="24"/>
      <c r="AK1047" s="24"/>
      <c r="AL1047" s="24"/>
      <c r="AM1047" s="24"/>
      <c r="AN1047" s="24"/>
      <c r="AO1047" s="24"/>
      <c r="AP1047" s="24"/>
      <c r="AQ1047" s="24"/>
      <c r="AR1047" s="24"/>
      <c r="AS1047" s="24"/>
      <c r="AT1047" s="24"/>
      <c r="AU1047" s="24"/>
      <c r="AV1047" s="24"/>
      <c r="AW1047" s="24"/>
      <c r="AX1047" s="24"/>
      <c r="AY1047" s="24"/>
    </row>
    <row r="1048" spans="1:51" x14ac:dyDescent="0.35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  <c r="AE1048" s="24"/>
      <c r="AF1048" s="24"/>
      <c r="AG1048" s="24"/>
      <c r="AH1048" s="24"/>
      <c r="AI1048" s="24"/>
      <c r="AJ1048" s="24"/>
      <c r="AK1048" s="24"/>
      <c r="AL1048" s="24"/>
      <c r="AM1048" s="24"/>
      <c r="AN1048" s="24"/>
      <c r="AO1048" s="24"/>
      <c r="AP1048" s="24"/>
      <c r="AQ1048" s="24"/>
      <c r="AR1048" s="24"/>
      <c r="AS1048" s="24"/>
      <c r="AT1048" s="24"/>
      <c r="AU1048" s="24"/>
      <c r="AV1048" s="24"/>
      <c r="AW1048" s="24"/>
      <c r="AX1048" s="24"/>
      <c r="AY1048" s="24"/>
    </row>
    <row r="1049" spans="1:51" x14ac:dyDescent="0.35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  <c r="AA1049" s="24"/>
      <c r="AB1049" s="24"/>
      <c r="AC1049" s="24"/>
      <c r="AD1049" s="24"/>
      <c r="AE1049" s="24"/>
      <c r="AF1049" s="24"/>
      <c r="AG1049" s="24"/>
      <c r="AH1049" s="24"/>
      <c r="AI1049" s="24"/>
      <c r="AJ1049" s="24"/>
      <c r="AK1049" s="24"/>
      <c r="AL1049" s="24"/>
      <c r="AM1049" s="24"/>
      <c r="AN1049" s="24"/>
      <c r="AO1049" s="24"/>
      <c r="AP1049" s="24"/>
      <c r="AQ1049" s="24"/>
      <c r="AR1049" s="24"/>
      <c r="AS1049" s="24"/>
      <c r="AT1049" s="24"/>
      <c r="AU1049" s="24"/>
      <c r="AV1049" s="24"/>
      <c r="AW1049" s="24"/>
      <c r="AX1049" s="24"/>
      <c r="AY1049" s="24"/>
    </row>
    <row r="1050" spans="1:51" x14ac:dyDescent="0.35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  <c r="AA1050" s="24"/>
      <c r="AB1050" s="24"/>
      <c r="AC1050" s="24"/>
      <c r="AD1050" s="24"/>
      <c r="AE1050" s="24"/>
      <c r="AF1050" s="24"/>
      <c r="AG1050" s="24"/>
      <c r="AH1050" s="24"/>
      <c r="AI1050" s="24"/>
      <c r="AJ1050" s="24"/>
      <c r="AK1050" s="24"/>
      <c r="AL1050" s="24"/>
      <c r="AM1050" s="24"/>
      <c r="AN1050" s="24"/>
      <c r="AO1050" s="24"/>
      <c r="AP1050" s="24"/>
      <c r="AQ1050" s="24"/>
      <c r="AR1050" s="24"/>
      <c r="AS1050" s="24"/>
      <c r="AT1050" s="24"/>
      <c r="AU1050" s="24"/>
      <c r="AV1050" s="24"/>
      <c r="AW1050" s="24"/>
      <c r="AX1050" s="24"/>
      <c r="AY1050" s="24"/>
    </row>
    <row r="1051" spans="1:51" x14ac:dyDescent="0.35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  <c r="AE1051" s="24"/>
      <c r="AF1051" s="24"/>
      <c r="AG1051" s="24"/>
      <c r="AH1051" s="24"/>
      <c r="AI1051" s="24"/>
      <c r="AJ1051" s="24"/>
      <c r="AK1051" s="24"/>
      <c r="AL1051" s="24"/>
      <c r="AM1051" s="24"/>
      <c r="AN1051" s="24"/>
      <c r="AO1051" s="24"/>
      <c r="AP1051" s="24"/>
      <c r="AQ1051" s="24"/>
      <c r="AR1051" s="24"/>
      <c r="AS1051" s="24"/>
      <c r="AT1051" s="24"/>
      <c r="AU1051" s="24"/>
      <c r="AV1051" s="24"/>
      <c r="AW1051" s="24"/>
      <c r="AX1051" s="24"/>
      <c r="AY1051" s="24"/>
    </row>
    <row r="1052" spans="1:51" x14ac:dyDescent="0.35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  <c r="AA1052" s="24"/>
      <c r="AB1052" s="24"/>
      <c r="AC1052" s="24"/>
      <c r="AD1052" s="24"/>
      <c r="AE1052" s="24"/>
      <c r="AF1052" s="24"/>
      <c r="AG1052" s="24"/>
      <c r="AH1052" s="24"/>
      <c r="AI1052" s="24"/>
      <c r="AJ1052" s="24"/>
      <c r="AK1052" s="24"/>
      <c r="AL1052" s="24"/>
      <c r="AM1052" s="24"/>
      <c r="AN1052" s="24"/>
      <c r="AO1052" s="24"/>
      <c r="AP1052" s="24"/>
      <c r="AQ1052" s="24"/>
      <c r="AR1052" s="24"/>
      <c r="AS1052" s="24"/>
      <c r="AT1052" s="24"/>
      <c r="AU1052" s="24"/>
      <c r="AV1052" s="24"/>
      <c r="AW1052" s="24"/>
      <c r="AX1052" s="24"/>
      <c r="AY1052" s="24"/>
    </row>
    <row r="1053" spans="1:51" x14ac:dyDescent="0.35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  <c r="AE1053" s="24"/>
      <c r="AF1053" s="24"/>
      <c r="AG1053" s="24"/>
      <c r="AH1053" s="24"/>
      <c r="AI1053" s="24"/>
      <c r="AJ1053" s="24"/>
      <c r="AK1053" s="24"/>
      <c r="AL1053" s="24"/>
      <c r="AM1053" s="24"/>
      <c r="AN1053" s="24"/>
      <c r="AO1053" s="24"/>
      <c r="AP1053" s="24"/>
      <c r="AQ1053" s="24"/>
      <c r="AR1053" s="24"/>
      <c r="AS1053" s="24"/>
      <c r="AT1053" s="24"/>
      <c r="AU1053" s="24"/>
      <c r="AV1053" s="24"/>
      <c r="AW1053" s="24"/>
      <c r="AX1053" s="24"/>
      <c r="AY1053" s="24"/>
    </row>
    <row r="1054" spans="1:51" x14ac:dyDescent="0.35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  <c r="AD1054" s="24"/>
      <c r="AE1054" s="24"/>
      <c r="AF1054" s="24"/>
      <c r="AG1054" s="24"/>
      <c r="AH1054" s="24"/>
      <c r="AI1054" s="24"/>
      <c r="AJ1054" s="24"/>
      <c r="AK1054" s="24"/>
      <c r="AL1054" s="24"/>
      <c r="AM1054" s="24"/>
      <c r="AN1054" s="24"/>
      <c r="AO1054" s="24"/>
      <c r="AP1054" s="24"/>
      <c r="AQ1054" s="24"/>
      <c r="AR1054" s="24"/>
      <c r="AS1054" s="24"/>
      <c r="AT1054" s="24"/>
      <c r="AU1054" s="24"/>
      <c r="AV1054" s="24"/>
      <c r="AW1054" s="24"/>
      <c r="AX1054" s="24"/>
      <c r="AY1054" s="24"/>
    </row>
    <row r="1055" spans="1:51" x14ac:dyDescent="0.35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  <c r="AA1055" s="24"/>
      <c r="AB1055" s="24"/>
      <c r="AC1055" s="24"/>
      <c r="AD1055" s="24"/>
      <c r="AE1055" s="24"/>
      <c r="AF1055" s="24"/>
      <c r="AG1055" s="24"/>
      <c r="AH1055" s="24"/>
      <c r="AI1055" s="24"/>
      <c r="AJ1055" s="24"/>
      <c r="AK1055" s="24"/>
      <c r="AL1055" s="24"/>
      <c r="AM1055" s="24"/>
      <c r="AN1055" s="24"/>
      <c r="AO1055" s="24"/>
      <c r="AP1055" s="24"/>
      <c r="AQ1055" s="24"/>
      <c r="AR1055" s="24"/>
      <c r="AS1055" s="24"/>
      <c r="AT1055" s="24"/>
      <c r="AU1055" s="24"/>
      <c r="AV1055" s="24"/>
      <c r="AW1055" s="24"/>
      <c r="AX1055" s="24"/>
      <c r="AY1055" s="24"/>
    </row>
    <row r="1056" spans="1:51" x14ac:dyDescent="0.35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  <c r="AA1056" s="24"/>
      <c r="AB1056" s="24"/>
      <c r="AC1056" s="24"/>
      <c r="AD1056" s="24"/>
      <c r="AE1056" s="24"/>
      <c r="AF1056" s="24"/>
      <c r="AG1056" s="24"/>
      <c r="AH1056" s="24"/>
      <c r="AI1056" s="24"/>
      <c r="AJ1056" s="24"/>
      <c r="AK1056" s="24"/>
      <c r="AL1056" s="24"/>
      <c r="AM1056" s="24"/>
      <c r="AN1056" s="24"/>
      <c r="AO1056" s="24"/>
      <c r="AP1056" s="24"/>
      <c r="AQ1056" s="24"/>
      <c r="AR1056" s="24"/>
      <c r="AS1056" s="24"/>
      <c r="AT1056" s="24"/>
      <c r="AU1056" s="24"/>
      <c r="AV1056" s="24"/>
      <c r="AW1056" s="24"/>
      <c r="AX1056" s="24"/>
      <c r="AY1056" s="24"/>
    </row>
    <row r="1057" spans="1:51" x14ac:dyDescent="0.35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  <c r="AA1057" s="24"/>
      <c r="AB1057" s="24"/>
      <c r="AC1057" s="24"/>
      <c r="AD1057" s="24"/>
      <c r="AE1057" s="24"/>
      <c r="AF1057" s="24"/>
      <c r="AG1057" s="24"/>
      <c r="AH1057" s="24"/>
      <c r="AI1057" s="24"/>
      <c r="AJ1057" s="24"/>
      <c r="AK1057" s="24"/>
      <c r="AL1057" s="24"/>
      <c r="AM1057" s="24"/>
      <c r="AN1057" s="24"/>
      <c r="AO1057" s="24"/>
      <c r="AP1057" s="24"/>
      <c r="AQ1057" s="24"/>
      <c r="AR1057" s="24"/>
      <c r="AS1057" s="24"/>
      <c r="AT1057" s="24"/>
      <c r="AU1057" s="24"/>
      <c r="AV1057" s="24"/>
      <c r="AW1057" s="24"/>
      <c r="AX1057" s="24"/>
      <c r="AY1057" s="24"/>
    </row>
    <row r="1058" spans="1:51" x14ac:dyDescent="0.35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  <c r="AD1058" s="24"/>
      <c r="AE1058" s="24"/>
      <c r="AF1058" s="24"/>
      <c r="AG1058" s="24"/>
      <c r="AH1058" s="24"/>
      <c r="AI1058" s="24"/>
      <c r="AJ1058" s="24"/>
      <c r="AK1058" s="24"/>
      <c r="AL1058" s="24"/>
      <c r="AM1058" s="24"/>
      <c r="AN1058" s="24"/>
      <c r="AO1058" s="24"/>
      <c r="AP1058" s="24"/>
      <c r="AQ1058" s="24"/>
      <c r="AR1058" s="24"/>
      <c r="AS1058" s="24"/>
      <c r="AT1058" s="24"/>
      <c r="AU1058" s="24"/>
      <c r="AV1058" s="24"/>
      <c r="AW1058" s="24"/>
      <c r="AX1058" s="24"/>
      <c r="AY1058" s="24"/>
    </row>
    <row r="1059" spans="1:51" x14ac:dyDescent="0.35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  <c r="AA1059" s="24"/>
      <c r="AB1059" s="24"/>
      <c r="AC1059" s="24"/>
      <c r="AD1059" s="24"/>
      <c r="AE1059" s="24"/>
      <c r="AF1059" s="24"/>
      <c r="AG1059" s="24"/>
      <c r="AH1059" s="24"/>
      <c r="AI1059" s="24"/>
      <c r="AJ1059" s="24"/>
      <c r="AK1059" s="24"/>
      <c r="AL1059" s="24"/>
      <c r="AM1059" s="24"/>
      <c r="AN1059" s="24"/>
      <c r="AO1059" s="24"/>
      <c r="AP1059" s="24"/>
      <c r="AQ1059" s="24"/>
      <c r="AR1059" s="24"/>
      <c r="AS1059" s="24"/>
      <c r="AT1059" s="24"/>
      <c r="AU1059" s="24"/>
      <c r="AV1059" s="24"/>
      <c r="AW1059" s="24"/>
      <c r="AX1059" s="24"/>
      <c r="AY1059" s="24"/>
    </row>
    <row r="1060" spans="1:51" x14ac:dyDescent="0.35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  <c r="AA1060" s="24"/>
      <c r="AB1060" s="24"/>
      <c r="AC1060" s="24"/>
      <c r="AD1060" s="24"/>
      <c r="AE1060" s="24"/>
      <c r="AF1060" s="24"/>
      <c r="AG1060" s="24"/>
      <c r="AH1060" s="24"/>
      <c r="AI1060" s="24"/>
      <c r="AJ1060" s="24"/>
      <c r="AK1060" s="24"/>
      <c r="AL1060" s="24"/>
      <c r="AM1060" s="24"/>
      <c r="AN1060" s="24"/>
      <c r="AO1060" s="24"/>
      <c r="AP1060" s="24"/>
      <c r="AQ1060" s="24"/>
      <c r="AR1060" s="24"/>
      <c r="AS1060" s="24"/>
      <c r="AT1060" s="24"/>
      <c r="AU1060" s="24"/>
      <c r="AV1060" s="24"/>
      <c r="AW1060" s="24"/>
      <c r="AX1060" s="24"/>
      <c r="AY1060" s="24"/>
    </row>
    <row r="1061" spans="1:51" x14ac:dyDescent="0.35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  <c r="AC1061" s="24"/>
      <c r="AD1061" s="24"/>
      <c r="AE1061" s="24"/>
      <c r="AF1061" s="24"/>
      <c r="AG1061" s="24"/>
      <c r="AH1061" s="24"/>
      <c r="AI1061" s="24"/>
      <c r="AJ1061" s="24"/>
      <c r="AK1061" s="24"/>
      <c r="AL1061" s="24"/>
      <c r="AM1061" s="24"/>
      <c r="AN1061" s="24"/>
      <c r="AO1061" s="24"/>
      <c r="AP1061" s="24"/>
      <c r="AQ1061" s="24"/>
      <c r="AR1061" s="24"/>
      <c r="AS1061" s="24"/>
      <c r="AT1061" s="24"/>
      <c r="AU1061" s="24"/>
      <c r="AV1061" s="24"/>
      <c r="AW1061" s="24"/>
      <c r="AX1061" s="24"/>
      <c r="AY1061" s="24"/>
    </row>
    <row r="1062" spans="1:51" x14ac:dyDescent="0.35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  <c r="AA1062" s="24"/>
      <c r="AB1062" s="24"/>
      <c r="AC1062" s="24"/>
      <c r="AD1062" s="24"/>
      <c r="AE1062" s="24"/>
      <c r="AF1062" s="24"/>
      <c r="AG1062" s="24"/>
      <c r="AH1062" s="24"/>
      <c r="AI1062" s="24"/>
      <c r="AJ1062" s="24"/>
      <c r="AK1062" s="24"/>
      <c r="AL1062" s="24"/>
      <c r="AM1062" s="24"/>
      <c r="AN1062" s="24"/>
      <c r="AO1062" s="24"/>
      <c r="AP1062" s="24"/>
      <c r="AQ1062" s="24"/>
      <c r="AR1062" s="24"/>
      <c r="AS1062" s="24"/>
      <c r="AT1062" s="24"/>
      <c r="AU1062" s="24"/>
      <c r="AV1062" s="24"/>
      <c r="AW1062" s="24"/>
      <c r="AX1062" s="24"/>
      <c r="AY1062" s="24"/>
    </row>
    <row r="1063" spans="1:51" x14ac:dyDescent="0.35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  <c r="AE1063" s="24"/>
      <c r="AF1063" s="24"/>
      <c r="AG1063" s="24"/>
      <c r="AH1063" s="24"/>
      <c r="AI1063" s="24"/>
      <c r="AJ1063" s="24"/>
      <c r="AK1063" s="24"/>
      <c r="AL1063" s="24"/>
      <c r="AM1063" s="24"/>
      <c r="AN1063" s="24"/>
      <c r="AO1063" s="24"/>
      <c r="AP1063" s="24"/>
      <c r="AQ1063" s="24"/>
      <c r="AR1063" s="24"/>
      <c r="AS1063" s="24"/>
      <c r="AT1063" s="24"/>
      <c r="AU1063" s="24"/>
      <c r="AV1063" s="24"/>
      <c r="AW1063" s="24"/>
      <c r="AX1063" s="24"/>
      <c r="AY1063" s="24"/>
    </row>
    <row r="1064" spans="1:51" x14ac:dyDescent="0.35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  <c r="AC1064" s="24"/>
      <c r="AD1064" s="24"/>
      <c r="AE1064" s="24"/>
      <c r="AF1064" s="24"/>
      <c r="AG1064" s="24"/>
      <c r="AH1064" s="24"/>
      <c r="AI1064" s="24"/>
      <c r="AJ1064" s="24"/>
      <c r="AK1064" s="24"/>
      <c r="AL1064" s="24"/>
      <c r="AM1064" s="24"/>
      <c r="AN1064" s="24"/>
      <c r="AO1064" s="24"/>
      <c r="AP1064" s="24"/>
      <c r="AQ1064" s="24"/>
      <c r="AR1064" s="24"/>
      <c r="AS1064" s="24"/>
      <c r="AT1064" s="24"/>
      <c r="AU1064" s="24"/>
      <c r="AV1064" s="24"/>
      <c r="AW1064" s="24"/>
      <c r="AX1064" s="24"/>
      <c r="AY1064" s="24"/>
    </row>
    <row r="1065" spans="1:51" x14ac:dyDescent="0.35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  <c r="AA1065" s="24"/>
      <c r="AB1065" s="24"/>
      <c r="AC1065" s="24"/>
      <c r="AD1065" s="24"/>
      <c r="AE1065" s="24"/>
      <c r="AF1065" s="24"/>
      <c r="AG1065" s="24"/>
      <c r="AH1065" s="24"/>
      <c r="AI1065" s="24"/>
      <c r="AJ1065" s="24"/>
      <c r="AK1065" s="24"/>
      <c r="AL1065" s="24"/>
      <c r="AM1065" s="24"/>
      <c r="AN1065" s="24"/>
      <c r="AO1065" s="24"/>
      <c r="AP1065" s="24"/>
      <c r="AQ1065" s="24"/>
      <c r="AR1065" s="24"/>
      <c r="AS1065" s="24"/>
      <c r="AT1065" s="24"/>
      <c r="AU1065" s="24"/>
      <c r="AV1065" s="24"/>
      <c r="AW1065" s="24"/>
      <c r="AX1065" s="24"/>
      <c r="AY1065" s="24"/>
    </row>
    <row r="1066" spans="1:51" x14ac:dyDescent="0.35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24"/>
      <c r="AE1066" s="24"/>
      <c r="AF1066" s="24"/>
      <c r="AG1066" s="24"/>
      <c r="AH1066" s="24"/>
      <c r="AI1066" s="24"/>
      <c r="AJ1066" s="24"/>
      <c r="AK1066" s="24"/>
      <c r="AL1066" s="24"/>
      <c r="AM1066" s="24"/>
      <c r="AN1066" s="24"/>
      <c r="AO1066" s="24"/>
      <c r="AP1066" s="24"/>
      <c r="AQ1066" s="24"/>
      <c r="AR1066" s="24"/>
      <c r="AS1066" s="24"/>
      <c r="AT1066" s="24"/>
      <c r="AU1066" s="24"/>
      <c r="AV1066" s="24"/>
      <c r="AW1066" s="24"/>
      <c r="AX1066" s="24"/>
      <c r="AY1066" s="24"/>
    </row>
    <row r="1067" spans="1:51" x14ac:dyDescent="0.35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  <c r="AC1067" s="24"/>
      <c r="AD1067" s="24"/>
      <c r="AE1067" s="24"/>
      <c r="AF1067" s="24"/>
      <c r="AG1067" s="24"/>
      <c r="AH1067" s="24"/>
      <c r="AI1067" s="24"/>
      <c r="AJ1067" s="24"/>
      <c r="AK1067" s="24"/>
      <c r="AL1067" s="24"/>
      <c r="AM1067" s="24"/>
      <c r="AN1067" s="24"/>
      <c r="AO1067" s="24"/>
      <c r="AP1067" s="24"/>
      <c r="AQ1067" s="24"/>
      <c r="AR1067" s="24"/>
      <c r="AS1067" s="24"/>
      <c r="AT1067" s="24"/>
      <c r="AU1067" s="24"/>
      <c r="AV1067" s="24"/>
      <c r="AW1067" s="24"/>
      <c r="AX1067" s="24"/>
      <c r="AY1067" s="24"/>
    </row>
    <row r="1068" spans="1:51" x14ac:dyDescent="0.35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  <c r="AD1068" s="24"/>
      <c r="AE1068" s="24"/>
      <c r="AF1068" s="24"/>
      <c r="AG1068" s="24"/>
      <c r="AH1068" s="24"/>
      <c r="AI1068" s="24"/>
      <c r="AJ1068" s="24"/>
      <c r="AK1068" s="24"/>
      <c r="AL1068" s="24"/>
      <c r="AM1068" s="24"/>
      <c r="AN1068" s="24"/>
      <c r="AO1068" s="24"/>
      <c r="AP1068" s="24"/>
      <c r="AQ1068" s="24"/>
      <c r="AR1068" s="24"/>
      <c r="AS1068" s="24"/>
      <c r="AT1068" s="24"/>
      <c r="AU1068" s="24"/>
      <c r="AV1068" s="24"/>
      <c r="AW1068" s="24"/>
      <c r="AX1068" s="24"/>
      <c r="AY1068" s="24"/>
    </row>
    <row r="1069" spans="1:51" x14ac:dyDescent="0.35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  <c r="AA1069" s="24"/>
      <c r="AB1069" s="24"/>
      <c r="AC1069" s="24"/>
      <c r="AD1069" s="24"/>
      <c r="AE1069" s="24"/>
      <c r="AF1069" s="24"/>
      <c r="AG1069" s="24"/>
      <c r="AH1069" s="24"/>
      <c r="AI1069" s="24"/>
      <c r="AJ1069" s="24"/>
      <c r="AK1069" s="24"/>
      <c r="AL1069" s="24"/>
      <c r="AM1069" s="24"/>
      <c r="AN1069" s="24"/>
      <c r="AO1069" s="24"/>
      <c r="AP1069" s="24"/>
      <c r="AQ1069" s="24"/>
      <c r="AR1069" s="24"/>
      <c r="AS1069" s="24"/>
      <c r="AT1069" s="24"/>
      <c r="AU1069" s="24"/>
      <c r="AV1069" s="24"/>
      <c r="AW1069" s="24"/>
      <c r="AX1069" s="24"/>
      <c r="AY1069" s="24"/>
    </row>
    <row r="1070" spans="1:51" x14ac:dyDescent="0.35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  <c r="AA1070" s="24"/>
      <c r="AB1070" s="24"/>
      <c r="AC1070" s="24"/>
      <c r="AD1070" s="24"/>
      <c r="AE1070" s="24"/>
      <c r="AF1070" s="24"/>
      <c r="AG1070" s="24"/>
      <c r="AH1070" s="24"/>
      <c r="AI1070" s="24"/>
      <c r="AJ1070" s="24"/>
      <c r="AK1070" s="24"/>
      <c r="AL1070" s="24"/>
      <c r="AM1070" s="24"/>
      <c r="AN1070" s="24"/>
      <c r="AO1070" s="24"/>
      <c r="AP1070" s="24"/>
      <c r="AQ1070" s="24"/>
      <c r="AR1070" s="24"/>
      <c r="AS1070" s="24"/>
      <c r="AT1070" s="24"/>
      <c r="AU1070" s="24"/>
      <c r="AV1070" s="24"/>
      <c r="AW1070" s="24"/>
      <c r="AX1070" s="24"/>
      <c r="AY1070" s="24"/>
    </row>
    <row r="1071" spans="1:51" x14ac:dyDescent="0.35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  <c r="AA1071" s="24"/>
      <c r="AB1071" s="24"/>
      <c r="AC1071" s="24"/>
      <c r="AD1071" s="24"/>
      <c r="AE1071" s="24"/>
      <c r="AF1071" s="24"/>
      <c r="AG1071" s="24"/>
      <c r="AH1071" s="24"/>
      <c r="AI1071" s="24"/>
      <c r="AJ1071" s="24"/>
      <c r="AK1071" s="24"/>
      <c r="AL1071" s="24"/>
      <c r="AM1071" s="24"/>
      <c r="AN1071" s="24"/>
      <c r="AO1071" s="24"/>
      <c r="AP1071" s="24"/>
      <c r="AQ1071" s="24"/>
      <c r="AR1071" s="24"/>
      <c r="AS1071" s="24"/>
      <c r="AT1071" s="24"/>
      <c r="AU1071" s="24"/>
      <c r="AV1071" s="24"/>
      <c r="AW1071" s="24"/>
      <c r="AX1071" s="24"/>
      <c r="AY1071" s="24"/>
    </row>
    <row r="1072" spans="1:51" x14ac:dyDescent="0.35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  <c r="AA1072" s="24"/>
      <c r="AB1072" s="24"/>
      <c r="AC1072" s="24"/>
      <c r="AD1072" s="24"/>
      <c r="AE1072" s="24"/>
      <c r="AF1072" s="24"/>
      <c r="AG1072" s="24"/>
      <c r="AH1072" s="24"/>
      <c r="AI1072" s="24"/>
      <c r="AJ1072" s="24"/>
      <c r="AK1072" s="24"/>
      <c r="AL1072" s="24"/>
      <c r="AM1072" s="24"/>
      <c r="AN1072" s="24"/>
      <c r="AO1072" s="24"/>
      <c r="AP1072" s="24"/>
      <c r="AQ1072" s="24"/>
      <c r="AR1072" s="24"/>
      <c r="AS1072" s="24"/>
      <c r="AT1072" s="24"/>
      <c r="AU1072" s="24"/>
      <c r="AV1072" s="24"/>
      <c r="AW1072" s="24"/>
      <c r="AX1072" s="24"/>
      <c r="AY1072" s="24"/>
    </row>
    <row r="1073" spans="1:51" x14ac:dyDescent="0.35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  <c r="AA1073" s="24"/>
      <c r="AB1073" s="24"/>
      <c r="AC1073" s="24"/>
      <c r="AD1073" s="24"/>
      <c r="AE1073" s="24"/>
      <c r="AF1073" s="24"/>
      <c r="AG1073" s="24"/>
      <c r="AH1073" s="24"/>
      <c r="AI1073" s="24"/>
      <c r="AJ1073" s="24"/>
      <c r="AK1073" s="24"/>
      <c r="AL1073" s="24"/>
      <c r="AM1073" s="24"/>
      <c r="AN1073" s="24"/>
      <c r="AO1073" s="24"/>
      <c r="AP1073" s="24"/>
      <c r="AQ1073" s="24"/>
      <c r="AR1073" s="24"/>
      <c r="AS1073" s="24"/>
      <c r="AT1073" s="24"/>
      <c r="AU1073" s="24"/>
      <c r="AV1073" s="24"/>
      <c r="AW1073" s="24"/>
      <c r="AX1073" s="24"/>
      <c r="AY1073" s="24"/>
    </row>
    <row r="1074" spans="1:51" x14ac:dyDescent="0.35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  <c r="AA1074" s="24"/>
      <c r="AB1074" s="24"/>
      <c r="AC1074" s="24"/>
      <c r="AD1074" s="24"/>
      <c r="AE1074" s="24"/>
      <c r="AF1074" s="24"/>
      <c r="AG1074" s="24"/>
      <c r="AH1074" s="24"/>
      <c r="AI1074" s="24"/>
      <c r="AJ1074" s="24"/>
      <c r="AK1074" s="24"/>
      <c r="AL1074" s="24"/>
      <c r="AM1074" s="24"/>
      <c r="AN1074" s="24"/>
      <c r="AO1074" s="24"/>
      <c r="AP1074" s="24"/>
      <c r="AQ1074" s="24"/>
      <c r="AR1074" s="24"/>
      <c r="AS1074" s="24"/>
      <c r="AT1074" s="24"/>
      <c r="AU1074" s="24"/>
      <c r="AV1074" s="24"/>
      <c r="AW1074" s="24"/>
      <c r="AX1074" s="24"/>
      <c r="AY1074" s="24"/>
    </row>
    <row r="1075" spans="1:51" x14ac:dyDescent="0.35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  <c r="AC1075" s="24"/>
      <c r="AD1075" s="24"/>
      <c r="AE1075" s="24"/>
      <c r="AF1075" s="24"/>
      <c r="AG1075" s="24"/>
      <c r="AH1075" s="24"/>
      <c r="AI1075" s="24"/>
      <c r="AJ1075" s="24"/>
      <c r="AK1075" s="24"/>
      <c r="AL1075" s="24"/>
      <c r="AM1075" s="24"/>
      <c r="AN1075" s="24"/>
      <c r="AO1075" s="24"/>
      <c r="AP1075" s="24"/>
      <c r="AQ1075" s="24"/>
      <c r="AR1075" s="24"/>
      <c r="AS1075" s="24"/>
      <c r="AT1075" s="24"/>
      <c r="AU1075" s="24"/>
      <c r="AV1075" s="24"/>
      <c r="AW1075" s="24"/>
      <c r="AX1075" s="24"/>
      <c r="AY1075" s="24"/>
    </row>
    <row r="1076" spans="1:51" x14ac:dyDescent="0.35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4"/>
      <c r="AE1076" s="24"/>
      <c r="AF1076" s="24"/>
      <c r="AG1076" s="24"/>
      <c r="AH1076" s="24"/>
      <c r="AI1076" s="24"/>
      <c r="AJ1076" s="24"/>
      <c r="AK1076" s="24"/>
      <c r="AL1076" s="24"/>
      <c r="AM1076" s="24"/>
      <c r="AN1076" s="24"/>
      <c r="AO1076" s="24"/>
      <c r="AP1076" s="24"/>
      <c r="AQ1076" s="24"/>
      <c r="AR1076" s="24"/>
      <c r="AS1076" s="24"/>
      <c r="AT1076" s="24"/>
      <c r="AU1076" s="24"/>
      <c r="AV1076" s="24"/>
      <c r="AW1076" s="24"/>
      <c r="AX1076" s="24"/>
      <c r="AY1076" s="24"/>
    </row>
    <row r="1077" spans="1:51" x14ac:dyDescent="0.35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  <c r="AA1077" s="24"/>
      <c r="AB1077" s="24"/>
      <c r="AC1077" s="24"/>
      <c r="AD1077" s="24"/>
      <c r="AE1077" s="24"/>
      <c r="AF1077" s="24"/>
      <c r="AG1077" s="24"/>
      <c r="AH1077" s="24"/>
      <c r="AI1077" s="24"/>
      <c r="AJ1077" s="24"/>
      <c r="AK1077" s="24"/>
      <c r="AL1077" s="24"/>
      <c r="AM1077" s="24"/>
      <c r="AN1077" s="24"/>
      <c r="AO1077" s="24"/>
      <c r="AP1077" s="24"/>
      <c r="AQ1077" s="24"/>
      <c r="AR1077" s="24"/>
      <c r="AS1077" s="24"/>
      <c r="AT1077" s="24"/>
      <c r="AU1077" s="24"/>
      <c r="AV1077" s="24"/>
      <c r="AW1077" s="24"/>
      <c r="AX1077" s="24"/>
      <c r="AY1077" s="24"/>
    </row>
    <row r="1078" spans="1:51" x14ac:dyDescent="0.35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  <c r="AA1078" s="24"/>
      <c r="AB1078" s="24"/>
      <c r="AC1078" s="24"/>
      <c r="AD1078" s="24"/>
      <c r="AE1078" s="24"/>
      <c r="AF1078" s="24"/>
      <c r="AG1078" s="24"/>
      <c r="AH1078" s="24"/>
      <c r="AI1078" s="24"/>
      <c r="AJ1078" s="24"/>
      <c r="AK1078" s="24"/>
      <c r="AL1078" s="24"/>
      <c r="AM1078" s="24"/>
      <c r="AN1078" s="24"/>
      <c r="AO1078" s="24"/>
      <c r="AP1078" s="24"/>
      <c r="AQ1078" s="24"/>
      <c r="AR1078" s="24"/>
      <c r="AS1078" s="24"/>
      <c r="AT1078" s="24"/>
      <c r="AU1078" s="24"/>
      <c r="AV1078" s="24"/>
      <c r="AW1078" s="24"/>
      <c r="AX1078" s="24"/>
      <c r="AY1078" s="24"/>
    </row>
    <row r="1079" spans="1:51" x14ac:dyDescent="0.35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  <c r="AC1079" s="24"/>
      <c r="AD1079" s="24"/>
      <c r="AE1079" s="24"/>
      <c r="AF1079" s="24"/>
      <c r="AG1079" s="24"/>
      <c r="AH1079" s="24"/>
      <c r="AI1079" s="24"/>
      <c r="AJ1079" s="24"/>
      <c r="AK1079" s="24"/>
      <c r="AL1079" s="24"/>
      <c r="AM1079" s="24"/>
      <c r="AN1079" s="24"/>
      <c r="AO1079" s="24"/>
      <c r="AP1079" s="24"/>
      <c r="AQ1079" s="24"/>
      <c r="AR1079" s="24"/>
      <c r="AS1079" s="24"/>
      <c r="AT1079" s="24"/>
      <c r="AU1079" s="24"/>
      <c r="AV1079" s="24"/>
      <c r="AW1079" s="24"/>
      <c r="AX1079" s="24"/>
      <c r="AY1079" s="24"/>
    </row>
    <row r="1080" spans="1:51" x14ac:dyDescent="0.35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  <c r="AA1080" s="24"/>
      <c r="AB1080" s="24"/>
      <c r="AC1080" s="24"/>
      <c r="AD1080" s="24"/>
      <c r="AE1080" s="24"/>
      <c r="AF1080" s="24"/>
      <c r="AG1080" s="24"/>
      <c r="AH1080" s="24"/>
      <c r="AI1080" s="24"/>
      <c r="AJ1080" s="24"/>
      <c r="AK1080" s="24"/>
      <c r="AL1080" s="24"/>
      <c r="AM1080" s="24"/>
      <c r="AN1080" s="24"/>
      <c r="AO1080" s="24"/>
      <c r="AP1080" s="24"/>
      <c r="AQ1080" s="24"/>
      <c r="AR1080" s="24"/>
      <c r="AS1080" s="24"/>
      <c r="AT1080" s="24"/>
      <c r="AU1080" s="24"/>
      <c r="AV1080" s="24"/>
      <c r="AW1080" s="24"/>
      <c r="AX1080" s="24"/>
      <c r="AY1080" s="24"/>
    </row>
    <row r="1081" spans="1:51" x14ac:dyDescent="0.35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  <c r="AA1081" s="24"/>
      <c r="AB1081" s="24"/>
      <c r="AC1081" s="24"/>
      <c r="AD1081" s="24"/>
      <c r="AE1081" s="24"/>
      <c r="AF1081" s="24"/>
      <c r="AG1081" s="24"/>
      <c r="AH1081" s="24"/>
      <c r="AI1081" s="24"/>
      <c r="AJ1081" s="24"/>
      <c r="AK1081" s="24"/>
      <c r="AL1081" s="24"/>
      <c r="AM1081" s="24"/>
      <c r="AN1081" s="24"/>
      <c r="AO1081" s="24"/>
      <c r="AP1081" s="24"/>
      <c r="AQ1081" s="24"/>
      <c r="AR1081" s="24"/>
      <c r="AS1081" s="24"/>
      <c r="AT1081" s="24"/>
      <c r="AU1081" s="24"/>
      <c r="AV1081" s="24"/>
      <c r="AW1081" s="24"/>
      <c r="AX1081" s="24"/>
      <c r="AY1081" s="24"/>
    </row>
    <row r="1082" spans="1:51" x14ac:dyDescent="0.35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  <c r="AA1082" s="24"/>
      <c r="AB1082" s="24"/>
      <c r="AC1082" s="24"/>
      <c r="AD1082" s="24"/>
      <c r="AE1082" s="24"/>
      <c r="AF1082" s="24"/>
      <c r="AG1082" s="24"/>
      <c r="AH1082" s="24"/>
      <c r="AI1082" s="24"/>
      <c r="AJ1082" s="24"/>
      <c r="AK1082" s="24"/>
      <c r="AL1082" s="24"/>
      <c r="AM1082" s="24"/>
      <c r="AN1082" s="24"/>
      <c r="AO1082" s="24"/>
      <c r="AP1082" s="24"/>
      <c r="AQ1082" s="24"/>
      <c r="AR1082" s="24"/>
      <c r="AS1082" s="24"/>
      <c r="AT1082" s="24"/>
      <c r="AU1082" s="24"/>
      <c r="AV1082" s="24"/>
      <c r="AW1082" s="24"/>
      <c r="AX1082" s="24"/>
      <c r="AY1082" s="24"/>
    </row>
    <row r="1083" spans="1:51" x14ac:dyDescent="0.35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  <c r="AC1083" s="24"/>
      <c r="AD1083" s="24"/>
      <c r="AE1083" s="24"/>
      <c r="AF1083" s="24"/>
      <c r="AG1083" s="24"/>
      <c r="AH1083" s="24"/>
      <c r="AI1083" s="24"/>
      <c r="AJ1083" s="24"/>
      <c r="AK1083" s="24"/>
      <c r="AL1083" s="24"/>
      <c r="AM1083" s="24"/>
      <c r="AN1083" s="24"/>
      <c r="AO1083" s="24"/>
      <c r="AP1083" s="24"/>
      <c r="AQ1083" s="24"/>
      <c r="AR1083" s="24"/>
      <c r="AS1083" s="24"/>
      <c r="AT1083" s="24"/>
      <c r="AU1083" s="24"/>
      <c r="AV1083" s="24"/>
      <c r="AW1083" s="24"/>
      <c r="AX1083" s="24"/>
      <c r="AY1083" s="24"/>
    </row>
    <row r="1084" spans="1:51" x14ac:dyDescent="0.35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  <c r="AD1084" s="24"/>
      <c r="AE1084" s="24"/>
      <c r="AF1084" s="24"/>
      <c r="AG1084" s="24"/>
      <c r="AH1084" s="24"/>
      <c r="AI1084" s="24"/>
      <c r="AJ1084" s="24"/>
      <c r="AK1084" s="24"/>
      <c r="AL1084" s="24"/>
      <c r="AM1084" s="24"/>
      <c r="AN1084" s="24"/>
      <c r="AO1084" s="24"/>
      <c r="AP1084" s="24"/>
      <c r="AQ1084" s="24"/>
      <c r="AR1084" s="24"/>
      <c r="AS1084" s="24"/>
      <c r="AT1084" s="24"/>
      <c r="AU1084" s="24"/>
      <c r="AV1084" s="24"/>
      <c r="AW1084" s="24"/>
      <c r="AX1084" s="24"/>
      <c r="AY1084" s="24"/>
    </row>
    <row r="1085" spans="1:51" x14ac:dyDescent="0.35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  <c r="AD1085" s="24"/>
      <c r="AE1085" s="24"/>
      <c r="AF1085" s="24"/>
      <c r="AG1085" s="24"/>
      <c r="AH1085" s="24"/>
      <c r="AI1085" s="24"/>
      <c r="AJ1085" s="24"/>
      <c r="AK1085" s="24"/>
      <c r="AL1085" s="24"/>
      <c r="AM1085" s="24"/>
      <c r="AN1085" s="24"/>
      <c r="AO1085" s="24"/>
      <c r="AP1085" s="24"/>
      <c r="AQ1085" s="24"/>
      <c r="AR1085" s="24"/>
      <c r="AS1085" s="24"/>
      <c r="AT1085" s="24"/>
      <c r="AU1085" s="24"/>
      <c r="AV1085" s="24"/>
      <c r="AW1085" s="24"/>
      <c r="AX1085" s="24"/>
      <c r="AY1085" s="24"/>
    </row>
    <row r="1086" spans="1:51" x14ac:dyDescent="0.35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  <c r="AA1086" s="24"/>
      <c r="AB1086" s="24"/>
      <c r="AC1086" s="24"/>
      <c r="AD1086" s="24"/>
      <c r="AE1086" s="24"/>
      <c r="AF1086" s="24"/>
      <c r="AG1086" s="24"/>
      <c r="AH1086" s="24"/>
      <c r="AI1086" s="24"/>
      <c r="AJ1086" s="24"/>
      <c r="AK1086" s="24"/>
      <c r="AL1086" s="24"/>
      <c r="AM1086" s="24"/>
      <c r="AN1086" s="24"/>
      <c r="AO1086" s="24"/>
      <c r="AP1086" s="24"/>
      <c r="AQ1086" s="24"/>
      <c r="AR1086" s="24"/>
      <c r="AS1086" s="24"/>
      <c r="AT1086" s="24"/>
      <c r="AU1086" s="24"/>
      <c r="AV1086" s="24"/>
      <c r="AW1086" s="24"/>
      <c r="AX1086" s="24"/>
      <c r="AY1086" s="24"/>
    </row>
    <row r="1087" spans="1:51" x14ac:dyDescent="0.35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  <c r="AA1087" s="24"/>
      <c r="AB1087" s="24"/>
      <c r="AC1087" s="24"/>
      <c r="AD1087" s="24"/>
      <c r="AE1087" s="24"/>
      <c r="AF1087" s="24"/>
      <c r="AG1087" s="24"/>
      <c r="AH1087" s="24"/>
      <c r="AI1087" s="24"/>
      <c r="AJ1087" s="24"/>
      <c r="AK1087" s="24"/>
      <c r="AL1087" s="24"/>
      <c r="AM1087" s="24"/>
      <c r="AN1087" s="24"/>
      <c r="AO1087" s="24"/>
      <c r="AP1087" s="24"/>
      <c r="AQ1087" s="24"/>
      <c r="AR1087" s="24"/>
      <c r="AS1087" s="24"/>
      <c r="AT1087" s="24"/>
      <c r="AU1087" s="24"/>
      <c r="AV1087" s="24"/>
      <c r="AW1087" s="24"/>
      <c r="AX1087" s="24"/>
      <c r="AY1087" s="24"/>
    </row>
    <row r="1088" spans="1:51" x14ac:dyDescent="0.35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  <c r="AA1088" s="24"/>
      <c r="AB1088" s="24"/>
      <c r="AC1088" s="24"/>
      <c r="AD1088" s="24"/>
      <c r="AE1088" s="24"/>
      <c r="AF1088" s="24"/>
      <c r="AG1088" s="24"/>
      <c r="AH1088" s="24"/>
      <c r="AI1088" s="24"/>
      <c r="AJ1088" s="24"/>
      <c r="AK1088" s="24"/>
      <c r="AL1088" s="24"/>
      <c r="AM1088" s="24"/>
      <c r="AN1088" s="24"/>
      <c r="AO1088" s="24"/>
      <c r="AP1088" s="24"/>
      <c r="AQ1088" s="24"/>
      <c r="AR1088" s="24"/>
      <c r="AS1088" s="24"/>
      <c r="AT1088" s="24"/>
      <c r="AU1088" s="24"/>
      <c r="AV1088" s="24"/>
      <c r="AW1088" s="24"/>
      <c r="AX1088" s="24"/>
      <c r="AY1088" s="24"/>
    </row>
    <row r="1089" spans="1:51" x14ac:dyDescent="0.35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/>
      <c r="AB1089" s="24"/>
      <c r="AC1089" s="24"/>
      <c r="AD1089" s="24"/>
      <c r="AE1089" s="24"/>
      <c r="AF1089" s="24"/>
      <c r="AG1089" s="24"/>
      <c r="AH1089" s="24"/>
      <c r="AI1089" s="24"/>
      <c r="AJ1089" s="24"/>
      <c r="AK1089" s="24"/>
      <c r="AL1089" s="24"/>
      <c r="AM1089" s="24"/>
      <c r="AN1089" s="24"/>
      <c r="AO1089" s="24"/>
      <c r="AP1089" s="24"/>
      <c r="AQ1089" s="24"/>
      <c r="AR1089" s="24"/>
      <c r="AS1089" s="24"/>
      <c r="AT1089" s="24"/>
      <c r="AU1089" s="24"/>
      <c r="AV1089" s="24"/>
      <c r="AW1089" s="24"/>
      <c r="AX1089" s="24"/>
      <c r="AY1089" s="24"/>
    </row>
    <row r="1090" spans="1:51" x14ac:dyDescent="0.35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  <c r="AA1090" s="24"/>
      <c r="AB1090" s="24"/>
      <c r="AC1090" s="24"/>
      <c r="AD1090" s="24"/>
      <c r="AE1090" s="24"/>
      <c r="AF1090" s="24"/>
      <c r="AG1090" s="24"/>
      <c r="AH1090" s="24"/>
      <c r="AI1090" s="24"/>
      <c r="AJ1090" s="24"/>
      <c r="AK1090" s="24"/>
      <c r="AL1090" s="24"/>
      <c r="AM1090" s="24"/>
      <c r="AN1090" s="24"/>
      <c r="AO1090" s="24"/>
      <c r="AP1090" s="24"/>
      <c r="AQ1090" s="24"/>
      <c r="AR1090" s="24"/>
      <c r="AS1090" s="24"/>
      <c r="AT1090" s="24"/>
      <c r="AU1090" s="24"/>
      <c r="AV1090" s="24"/>
      <c r="AW1090" s="24"/>
      <c r="AX1090" s="24"/>
      <c r="AY1090" s="24"/>
    </row>
    <row r="1091" spans="1:51" x14ac:dyDescent="0.35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  <c r="AA1091" s="24"/>
      <c r="AB1091" s="24"/>
      <c r="AC1091" s="24"/>
      <c r="AD1091" s="24"/>
      <c r="AE1091" s="24"/>
      <c r="AF1091" s="24"/>
      <c r="AG1091" s="24"/>
      <c r="AH1091" s="24"/>
      <c r="AI1091" s="24"/>
      <c r="AJ1091" s="24"/>
      <c r="AK1091" s="24"/>
      <c r="AL1091" s="24"/>
      <c r="AM1091" s="24"/>
      <c r="AN1091" s="24"/>
      <c r="AO1091" s="24"/>
      <c r="AP1091" s="24"/>
      <c r="AQ1091" s="24"/>
      <c r="AR1091" s="24"/>
      <c r="AS1091" s="24"/>
      <c r="AT1091" s="24"/>
      <c r="AU1091" s="24"/>
      <c r="AV1091" s="24"/>
      <c r="AW1091" s="24"/>
      <c r="AX1091" s="24"/>
      <c r="AY1091" s="24"/>
    </row>
    <row r="1092" spans="1:51" x14ac:dyDescent="0.35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  <c r="AD1092" s="24"/>
      <c r="AE1092" s="24"/>
      <c r="AF1092" s="24"/>
      <c r="AG1092" s="24"/>
      <c r="AH1092" s="24"/>
      <c r="AI1092" s="24"/>
      <c r="AJ1092" s="24"/>
      <c r="AK1092" s="24"/>
      <c r="AL1092" s="24"/>
      <c r="AM1092" s="24"/>
      <c r="AN1092" s="24"/>
      <c r="AO1092" s="24"/>
      <c r="AP1092" s="24"/>
      <c r="AQ1092" s="24"/>
      <c r="AR1092" s="24"/>
      <c r="AS1092" s="24"/>
      <c r="AT1092" s="24"/>
      <c r="AU1092" s="24"/>
      <c r="AV1092" s="24"/>
      <c r="AW1092" s="24"/>
      <c r="AX1092" s="24"/>
      <c r="AY1092" s="24"/>
    </row>
    <row r="1093" spans="1:51" x14ac:dyDescent="0.35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  <c r="AA1093" s="24"/>
      <c r="AB1093" s="24"/>
      <c r="AC1093" s="24"/>
      <c r="AD1093" s="24"/>
      <c r="AE1093" s="24"/>
      <c r="AF1093" s="24"/>
      <c r="AG1093" s="24"/>
      <c r="AH1093" s="24"/>
      <c r="AI1093" s="24"/>
      <c r="AJ1093" s="24"/>
      <c r="AK1093" s="24"/>
      <c r="AL1093" s="24"/>
      <c r="AM1093" s="24"/>
      <c r="AN1093" s="24"/>
      <c r="AO1093" s="24"/>
      <c r="AP1093" s="24"/>
      <c r="AQ1093" s="24"/>
      <c r="AR1093" s="24"/>
      <c r="AS1093" s="24"/>
      <c r="AT1093" s="24"/>
      <c r="AU1093" s="24"/>
      <c r="AV1093" s="24"/>
      <c r="AW1093" s="24"/>
      <c r="AX1093" s="24"/>
      <c r="AY1093" s="24"/>
    </row>
    <row r="1094" spans="1:51" x14ac:dyDescent="0.35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  <c r="AA1094" s="24"/>
      <c r="AB1094" s="24"/>
      <c r="AC1094" s="24"/>
      <c r="AD1094" s="24"/>
      <c r="AE1094" s="24"/>
      <c r="AF1094" s="24"/>
      <c r="AG1094" s="24"/>
      <c r="AH1094" s="24"/>
      <c r="AI1094" s="24"/>
      <c r="AJ1094" s="24"/>
      <c r="AK1094" s="24"/>
      <c r="AL1094" s="24"/>
      <c r="AM1094" s="24"/>
      <c r="AN1094" s="24"/>
      <c r="AO1094" s="24"/>
      <c r="AP1094" s="24"/>
      <c r="AQ1094" s="24"/>
      <c r="AR1094" s="24"/>
      <c r="AS1094" s="24"/>
      <c r="AT1094" s="24"/>
      <c r="AU1094" s="24"/>
      <c r="AV1094" s="24"/>
      <c r="AW1094" s="24"/>
      <c r="AX1094" s="24"/>
      <c r="AY1094" s="24"/>
    </row>
    <row r="1095" spans="1:51" x14ac:dyDescent="0.35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  <c r="AA1095" s="24"/>
      <c r="AB1095" s="24"/>
      <c r="AC1095" s="24"/>
      <c r="AD1095" s="24"/>
      <c r="AE1095" s="24"/>
      <c r="AF1095" s="24"/>
      <c r="AG1095" s="24"/>
      <c r="AH1095" s="24"/>
      <c r="AI1095" s="24"/>
      <c r="AJ1095" s="24"/>
      <c r="AK1095" s="24"/>
      <c r="AL1095" s="24"/>
      <c r="AM1095" s="24"/>
      <c r="AN1095" s="24"/>
      <c r="AO1095" s="24"/>
      <c r="AP1095" s="24"/>
      <c r="AQ1095" s="24"/>
      <c r="AR1095" s="24"/>
      <c r="AS1095" s="24"/>
      <c r="AT1095" s="24"/>
      <c r="AU1095" s="24"/>
      <c r="AV1095" s="24"/>
      <c r="AW1095" s="24"/>
      <c r="AX1095" s="24"/>
      <c r="AY1095" s="24"/>
    </row>
    <row r="1096" spans="1:51" x14ac:dyDescent="0.35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  <c r="AA1096" s="24"/>
      <c r="AB1096" s="24"/>
      <c r="AC1096" s="24"/>
      <c r="AD1096" s="24"/>
      <c r="AE1096" s="24"/>
      <c r="AF1096" s="24"/>
      <c r="AG1096" s="24"/>
      <c r="AH1096" s="24"/>
      <c r="AI1096" s="24"/>
      <c r="AJ1096" s="24"/>
      <c r="AK1096" s="24"/>
      <c r="AL1096" s="24"/>
      <c r="AM1096" s="24"/>
      <c r="AN1096" s="24"/>
      <c r="AO1096" s="24"/>
      <c r="AP1096" s="24"/>
      <c r="AQ1096" s="24"/>
      <c r="AR1096" s="24"/>
      <c r="AS1096" s="24"/>
      <c r="AT1096" s="24"/>
      <c r="AU1096" s="24"/>
      <c r="AV1096" s="24"/>
      <c r="AW1096" s="24"/>
      <c r="AX1096" s="24"/>
      <c r="AY1096" s="24"/>
    </row>
    <row r="1097" spans="1:51" x14ac:dyDescent="0.35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  <c r="AA1097" s="24"/>
      <c r="AB1097" s="24"/>
      <c r="AC1097" s="24"/>
      <c r="AD1097" s="24"/>
      <c r="AE1097" s="24"/>
      <c r="AF1097" s="24"/>
      <c r="AG1097" s="24"/>
      <c r="AH1097" s="24"/>
      <c r="AI1097" s="24"/>
      <c r="AJ1097" s="24"/>
      <c r="AK1097" s="24"/>
      <c r="AL1097" s="24"/>
      <c r="AM1097" s="24"/>
      <c r="AN1097" s="24"/>
      <c r="AO1097" s="24"/>
      <c r="AP1097" s="24"/>
      <c r="AQ1097" s="24"/>
      <c r="AR1097" s="24"/>
      <c r="AS1097" s="24"/>
      <c r="AT1097" s="24"/>
      <c r="AU1097" s="24"/>
      <c r="AV1097" s="24"/>
      <c r="AW1097" s="24"/>
      <c r="AX1097" s="24"/>
      <c r="AY1097" s="24"/>
    </row>
    <row r="1098" spans="1:51" x14ac:dyDescent="0.35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4"/>
      <c r="AC1098" s="24"/>
      <c r="AD1098" s="24"/>
      <c r="AE1098" s="24"/>
      <c r="AF1098" s="24"/>
      <c r="AG1098" s="24"/>
      <c r="AH1098" s="24"/>
      <c r="AI1098" s="24"/>
      <c r="AJ1098" s="24"/>
      <c r="AK1098" s="24"/>
      <c r="AL1098" s="24"/>
      <c r="AM1098" s="24"/>
      <c r="AN1098" s="24"/>
      <c r="AO1098" s="24"/>
      <c r="AP1098" s="24"/>
      <c r="AQ1098" s="24"/>
      <c r="AR1098" s="24"/>
      <c r="AS1098" s="24"/>
      <c r="AT1098" s="24"/>
      <c r="AU1098" s="24"/>
      <c r="AV1098" s="24"/>
      <c r="AW1098" s="24"/>
      <c r="AX1098" s="24"/>
      <c r="AY1098" s="24"/>
    </row>
    <row r="1099" spans="1:51" x14ac:dyDescent="0.35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  <c r="AA1099" s="24"/>
      <c r="AB1099" s="24"/>
      <c r="AC1099" s="24"/>
      <c r="AD1099" s="24"/>
      <c r="AE1099" s="24"/>
      <c r="AF1099" s="24"/>
      <c r="AG1099" s="24"/>
      <c r="AH1099" s="24"/>
      <c r="AI1099" s="24"/>
      <c r="AJ1099" s="24"/>
      <c r="AK1099" s="24"/>
      <c r="AL1099" s="24"/>
      <c r="AM1099" s="24"/>
      <c r="AN1099" s="24"/>
      <c r="AO1099" s="24"/>
      <c r="AP1099" s="24"/>
      <c r="AQ1099" s="24"/>
      <c r="AR1099" s="24"/>
      <c r="AS1099" s="24"/>
      <c r="AT1099" s="24"/>
      <c r="AU1099" s="24"/>
      <c r="AV1099" s="24"/>
      <c r="AW1099" s="24"/>
      <c r="AX1099" s="24"/>
      <c r="AY1099" s="24"/>
    </row>
    <row r="1100" spans="1:51" x14ac:dyDescent="0.35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  <c r="AA1100" s="24"/>
      <c r="AB1100" s="24"/>
      <c r="AC1100" s="24"/>
      <c r="AD1100" s="24"/>
      <c r="AE1100" s="24"/>
      <c r="AF1100" s="24"/>
      <c r="AG1100" s="24"/>
      <c r="AH1100" s="24"/>
      <c r="AI1100" s="24"/>
      <c r="AJ1100" s="24"/>
      <c r="AK1100" s="24"/>
      <c r="AL1100" s="24"/>
      <c r="AM1100" s="24"/>
      <c r="AN1100" s="24"/>
      <c r="AO1100" s="24"/>
      <c r="AP1100" s="24"/>
      <c r="AQ1100" s="24"/>
      <c r="AR1100" s="24"/>
      <c r="AS1100" s="24"/>
      <c r="AT1100" s="24"/>
      <c r="AU1100" s="24"/>
      <c r="AV1100" s="24"/>
      <c r="AW1100" s="24"/>
      <c r="AX1100" s="24"/>
      <c r="AY1100" s="24"/>
    </row>
    <row r="1101" spans="1:51" x14ac:dyDescent="0.35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  <c r="AD1101" s="24"/>
      <c r="AE1101" s="24"/>
      <c r="AF1101" s="24"/>
      <c r="AG1101" s="24"/>
      <c r="AH1101" s="24"/>
      <c r="AI1101" s="24"/>
      <c r="AJ1101" s="24"/>
      <c r="AK1101" s="24"/>
      <c r="AL1101" s="24"/>
      <c r="AM1101" s="24"/>
      <c r="AN1101" s="24"/>
      <c r="AO1101" s="24"/>
      <c r="AP1101" s="24"/>
      <c r="AQ1101" s="24"/>
      <c r="AR1101" s="24"/>
      <c r="AS1101" s="24"/>
      <c r="AT1101" s="24"/>
      <c r="AU1101" s="24"/>
      <c r="AV1101" s="24"/>
      <c r="AW1101" s="24"/>
      <c r="AX1101" s="24"/>
      <c r="AY1101" s="24"/>
    </row>
    <row r="1102" spans="1:51" x14ac:dyDescent="0.35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  <c r="AA1102" s="24"/>
      <c r="AB1102" s="24"/>
      <c r="AC1102" s="24"/>
      <c r="AD1102" s="24"/>
      <c r="AE1102" s="24"/>
      <c r="AF1102" s="24"/>
      <c r="AG1102" s="24"/>
      <c r="AH1102" s="24"/>
      <c r="AI1102" s="24"/>
      <c r="AJ1102" s="24"/>
      <c r="AK1102" s="24"/>
      <c r="AL1102" s="24"/>
      <c r="AM1102" s="24"/>
      <c r="AN1102" s="24"/>
      <c r="AO1102" s="24"/>
      <c r="AP1102" s="24"/>
      <c r="AQ1102" s="24"/>
      <c r="AR1102" s="24"/>
      <c r="AS1102" s="24"/>
      <c r="AT1102" s="24"/>
      <c r="AU1102" s="24"/>
      <c r="AV1102" s="24"/>
      <c r="AW1102" s="24"/>
      <c r="AX1102" s="24"/>
      <c r="AY1102" s="24"/>
    </row>
    <row r="1103" spans="1:51" x14ac:dyDescent="0.35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24"/>
      <c r="AE1103" s="24"/>
      <c r="AF1103" s="24"/>
      <c r="AG1103" s="24"/>
      <c r="AH1103" s="24"/>
      <c r="AI1103" s="24"/>
      <c r="AJ1103" s="24"/>
      <c r="AK1103" s="24"/>
      <c r="AL1103" s="24"/>
      <c r="AM1103" s="24"/>
      <c r="AN1103" s="24"/>
      <c r="AO1103" s="24"/>
      <c r="AP1103" s="24"/>
      <c r="AQ1103" s="24"/>
      <c r="AR1103" s="24"/>
      <c r="AS1103" s="24"/>
      <c r="AT1103" s="24"/>
      <c r="AU1103" s="24"/>
      <c r="AV1103" s="24"/>
      <c r="AW1103" s="24"/>
      <c r="AX1103" s="24"/>
      <c r="AY1103" s="24"/>
    </row>
    <row r="1104" spans="1:51" x14ac:dyDescent="0.35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  <c r="AA1104" s="24"/>
      <c r="AB1104" s="24"/>
      <c r="AC1104" s="24"/>
      <c r="AD1104" s="24"/>
      <c r="AE1104" s="24"/>
      <c r="AF1104" s="24"/>
      <c r="AG1104" s="24"/>
      <c r="AH1104" s="24"/>
      <c r="AI1104" s="24"/>
      <c r="AJ1104" s="24"/>
      <c r="AK1104" s="24"/>
      <c r="AL1104" s="24"/>
      <c r="AM1104" s="24"/>
      <c r="AN1104" s="24"/>
      <c r="AO1104" s="24"/>
      <c r="AP1104" s="24"/>
      <c r="AQ1104" s="24"/>
      <c r="AR1104" s="24"/>
      <c r="AS1104" s="24"/>
      <c r="AT1104" s="24"/>
      <c r="AU1104" s="24"/>
      <c r="AV1104" s="24"/>
      <c r="AW1104" s="24"/>
      <c r="AX1104" s="24"/>
      <c r="AY1104" s="24"/>
    </row>
    <row r="1105" spans="1:51" x14ac:dyDescent="0.35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  <c r="AA1105" s="24"/>
      <c r="AB1105" s="24"/>
      <c r="AC1105" s="24"/>
      <c r="AD1105" s="24"/>
      <c r="AE1105" s="24"/>
      <c r="AF1105" s="24"/>
      <c r="AG1105" s="24"/>
      <c r="AH1105" s="24"/>
      <c r="AI1105" s="24"/>
      <c r="AJ1105" s="24"/>
      <c r="AK1105" s="24"/>
      <c r="AL1105" s="24"/>
      <c r="AM1105" s="24"/>
      <c r="AN1105" s="24"/>
      <c r="AO1105" s="24"/>
      <c r="AP1105" s="24"/>
      <c r="AQ1105" s="24"/>
      <c r="AR1105" s="24"/>
      <c r="AS1105" s="24"/>
      <c r="AT1105" s="24"/>
      <c r="AU1105" s="24"/>
      <c r="AV1105" s="24"/>
      <c r="AW1105" s="24"/>
      <c r="AX1105" s="24"/>
      <c r="AY1105" s="24"/>
    </row>
    <row r="1106" spans="1:51" x14ac:dyDescent="0.35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  <c r="AA1106" s="24"/>
      <c r="AB1106" s="24"/>
      <c r="AC1106" s="24"/>
      <c r="AD1106" s="24"/>
      <c r="AE1106" s="24"/>
      <c r="AF1106" s="24"/>
      <c r="AG1106" s="24"/>
      <c r="AH1106" s="24"/>
      <c r="AI1106" s="24"/>
      <c r="AJ1106" s="24"/>
      <c r="AK1106" s="24"/>
      <c r="AL1106" s="24"/>
      <c r="AM1106" s="24"/>
      <c r="AN1106" s="24"/>
      <c r="AO1106" s="24"/>
      <c r="AP1106" s="24"/>
      <c r="AQ1106" s="24"/>
      <c r="AR1106" s="24"/>
      <c r="AS1106" s="24"/>
      <c r="AT1106" s="24"/>
      <c r="AU1106" s="24"/>
      <c r="AV1106" s="24"/>
      <c r="AW1106" s="24"/>
      <c r="AX1106" s="24"/>
      <c r="AY1106" s="24"/>
    </row>
    <row r="1107" spans="1:51" x14ac:dyDescent="0.35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  <c r="AA1107" s="24"/>
      <c r="AB1107" s="24"/>
      <c r="AC1107" s="24"/>
      <c r="AD1107" s="24"/>
      <c r="AE1107" s="24"/>
      <c r="AF1107" s="24"/>
      <c r="AG1107" s="24"/>
      <c r="AH1107" s="24"/>
      <c r="AI1107" s="24"/>
      <c r="AJ1107" s="24"/>
      <c r="AK1107" s="24"/>
      <c r="AL1107" s="24"/>
      <c r="AM1107" s="24"/>
      <c r="AN1107" s="24"/>
      <c r="AO1107" s="24"/>
      <c r="AP1107" s="24"/>
      <c r="AQ1107" s="24"/>
      <c r="AR1107" s="24"/>
      <c r="AS1107" s="24"/>
      <c r="AT1107" s="24"/>
      <c r="AU1107" s="24"/>
      <c r="AV1107" s="24"/>
      <c r="AW1107" s="24"/>
      <c r="AX1107" s="24"/>
      <c r="AY1107" s="24"/>
    </row>
    <row r="1108" spans="1:51" x14ac:dyDescent="0.35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4"/>
      <c r="AD1108" s="24"/>
      <c r="AE1108" s="24"/>
      <c r="AF1108" s="24"/>
      <c r="AG1108" s="24"/>
      <c r="AH1108" s="24"/>
      <c r="AI1108" s="24"/>
      <c r="AJ1108" s="24"/>
      <c r="AK1108" s="24"/>
      <c r="AL1108" s="24"/>
      <c r="AM1108" s="24"/>
      <c r="AN1108" s="24"/>
      <c r="AO1108" s="24"/>
      <c r="AP1108" s="24"/>
      <c r="AQ1108" s="24"/>
      <c r="AR1108" s="24"/>
      <c r="AS1108" s="24"/>
      <c r="AT1108" s="24"/>
      <c r="AU1108" s="24"/>
      <c r="AV1108" s="24"/>
      <c r="AW1108" s="24"/>
      <c r="AX1108" s="24"/>
      <c r="AY1108" s="24"/>
    </row>
    <row r="1109" spans="1:51" x14ac:dyDescent="0.35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24"/>
      <c r="AE1109" s="24"/>
      <c r="AF1109" s="24"/>
      <c r="AG1109" s="24"/>
      <c r="AH1109" s="24"/>
      <c r="AI1109" s="24"/>
      <c r="AJ1109" s="24"/>
      <c r="AK1109" s="24"/>
      <c r="AL1109" s="24"/>
      <c r="AM1109" s="24"/>
      <c r="AN1109" s="24"/>
      <c r="AO1109" s="24"/>
      <c r="AP1109" s="24"/>
      <c r="AQ1109" s="24"/>
      <c r="AR1109" s="24"/>
      <c r="AS1109" s="24"/>
      <c r="AT1109" s="24"/>
      <c r="AU1109" s="24"/>
      <c r="AV1109" s="24"/>
      <c r="AW1109" s="24"/>
      <c r="AX1109" s="24"/>
      <c r="AY1109" s="24"/>
    </row>
    <row r="1110" spans="1:51" x14ac:dyDescent="0.35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  <c r="AA1110" s="24"/>
      <c r="AB1110" s="24"/>
      <c r="AC1110" s="24"/>
      <c r="AD1110" s="24"/>
      <c r="AE1110" s="24"/>
      <c r="AF1110" s="24"/>
      <c r="AG1110" s="24"/>
      <c r="AH1110" s="24"/>
      <c r="AI1110" s="24"/>
      <c r="AJ1110" s="24"/>
      <c r="AK1110" s="24"/>
      <c r="AL1110" s="24"/>
      <c r="AM1110" s="24"/>
      <c r="AN1110" s="24"/>
      <c r="AO1110" s="24"/>
      <c r="AP1110" s="24"/>
      <c r="AQ1110" s="24"/>
      <c r="AR1110" s="24"/>
      <c r="AS1110" s="24"/>
      <c r="AT1110" s="24"/>
      <c r="AU1110" s="24"/>
      <c r="AV1110" s="24"/>
      <c r="AW1110" s="24"/>
      <c r="AX1110" s="24"/>
      <c r="AY1110" s="24"/>
    </row>
    <row r="1111" spans="1:51" x14ac:dyDescent="0.35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  <c r="AA1111" s="24"/>
      <c r="AB1111" s="24"/>
      <c r="AC1111" s="24"/>
      <c r="AD1111" s="24"/>
      <c r="AE1111" s="24"/>
      <c r="AF1111" s="24"/>
      <c r="AG1111" s="24"/>
      <c r="AH1111" s="24"/>
      <c r="AI1111" s="24"/>
      <c r="AJ1111" s="24"/>
      <c r="AK1111" s="24"/>
      <c r="AL1111" s="24"/>
      <c r="AM1111" s="24"/>
      <c r="AN1111" s="24"/>
      <c r="AO1111" s="24"/>
      <c r="AP1111" s="24"/>
      <c r="AQ1111" s="24"/>
      <c r="AR1111" s="24"/>
      <c r="AS1111" s="24"/>
      <c r="AT1111" s="24"/>
      <c r="AU1111" s="24"/>
      <c r="AV1111" s="24"/>
      <c r="AW1111" s="24"/>
      <c r="AX1111" s="24"/>
      <c r="AY1111" s="24"/>
    </row>
    <row r="1112" spans="1:51" x14ac:dyDescent="0.35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  <c r="AA1112" s="24"/>
      <c r="AB1112" s="24"/>
      <c r="AC1112" s="24"/>
      <c r="AD1112" s="24"/>
      <c r="AE1112" s="24"/>
      <c r="AF1112" s="24"/>
      <c r="AG1112" s="24"/>
      <c r="AH1112" s="24"/>
      <c r="AI1112" s="24"/>
      <c r="AJ1112" s="24"/>
      <c r="AK1112" s="24"/>
      <c r="AL1112" s="24"/>
      <c r="AM1112" s="24"/>
      <c r="AN1112" s="24"/>
      <c r="AO1112" s="24"/>
      <c r="AP1112" s="24"/>
      <c r="AQ1112" s="24"/>
      <c r="AR1112" s="24"/>
      <c r="AS1112" s="24"/>
      <c r="AT1112" s="24"/>
      <c r="AU1112" s="24"/>
      <c r="AV1112" s="24"/>
      <c r="AW1112" s="24"/>
      <c r="AX1112" s="24"/>
      <c r="AY1112" s="24"/>
    </row>
    <row r="1113" spans="1:51" x14ac:dyDescent="0.35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  <c r="AC1113" s="24"/>
      <c r="AD1113" s="24"/>
      <c r="AE1113" s="24"/>
      <c r="AF1113" s="24"/>
      <c r="AG1113" s="24"/>
      <c r="AH1113" s="24"/>
      <c r="AI1113" s="24"/>
      <c r="AJ1113" s="24"/>
      <c r="AK1113" s="24"/>
      <c r="AL1113" s="24"/>
      <c r="AM1113" s="24"/>
      <c r="AN1113" s="24"/>
      <c r="AO1113" s="24"/>
      <c r="AP1113" s="24"/>
      <c r="AQ1113" s="24"/>
      <c r="AR1113" s="24"/>
      <c r="AS1113" s="24"/>
      <c r="AT1113" s="24"/>
      <c r="AU1113" s="24"/>
      <c r="AV1113" s="24"/>
      <c r="AW1113" s="24"/>
      <c r="AX1113" s="24"/>
      <c r="AY1113" s="24"/>
    </row>
    <row r="1114" spans="1:51" x14ac:dyDescent="0.35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  <c r="AA1114" s="24"/>
      <c r="AB1114" s="24"/>
      <c r="AC1114" s="24"/>
      <c r="AD1114" s="24"/>
      <c r="AE1114" s="24"/>
      <c r="AF1114" s="24"/>
      <c r="AG1114" s="24"/>
      <c r="AH1114" s="24"/>
      <c r="AI1114" s="24"/>
      <c r="AJ1114" s="24"/>
      <c r="AK1114" s="24"/>
      <c r="AL1114" s="24"/>
      <c r="AM1114" s="24"/>
      <c r="AN1114" s="24"/>
      <c r="AO1114" s="24"/>
      <c r="AP1114" s="24"/>
      <c r="AQ1114" s="24"/>
      <c r="AR1114" s="24"/>
      <c r="AS1114" s="24"/>
      <c r="AT1114" s="24"/>
      <c r="AU1114" s="24"/>
      <c r="AV1114" s="24"/>
      <c r="AW1114" s="24"/>
      <c r="AX1114" s="24"/>
      <c r="AY1114" s="24"/>
    </row>
    <row r="1115" spans="1:51" x14ac:dyDescent="0.35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24"/>
      <c r="AE1115" s="24"/>
      <c r="AF1115" s="24"/>
      <c r="AG1115" s="24"/>
      <c r="AH1115" s="24"/>
      <c r="AI1115" s="24"/>
      <c r="AJ1115" s="24"/>
      <c r="AK1115" s="24"/>
      <c r="AL1115" s="24"/>
      <c r="AM1115" s="24"/>
      <c r="AN1115" s="24"/>
      <c r="AO1115" s="24"/>
      <c r="AP1115" s="24"/>
      <c r="AQ1115" s="24"/>
      <c r="AR1115" s="24"/>
      <c r="AS1115" s="24"/>
      <c r="AT1115" s="24"/>
      <c r="AU1115" s="24"/>
      <c r="AV1115" s="24"/>
      <c r="AW1115" s="24"/>
      <c r="AX1115" s="24"/>
      <c r="AY1115" s="24"/>
    </row>
    <row r="1116" spans="1:51" x14ac:dyDescent="0.35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  <c r="AA1116" s="24"/>
      <c r="AB1116" s="24"/>
      <c r="AC1116" s="24"/>
      <c r="AD1116" s="24"/>
      <c r="AE1116" s="24"/>
      <c r="AF1116" s="24"/>
      <c r="AG1116" s="24"/>
      <c r="AH1116" s="24"/>
      <c r="AI1116" s="24"/>
      <c r="AJ1116" s="24"/>
      <c r="AK1116" s="24"/>
      <c r="AL1116" s="24"/>
      <c r="AM1116" s="24"/>
      <c r="AN1116" s="24"/>
      <c r="AO1116" s="24"/>
      <c r="AP1116" s="24"/>
      <c r="AQ1116" s="24"/>
      <c r="AR1116" s="24"/>
      <c r="AS1116" s="24"/>
      <c r="AT1116" s="24"/>
      <c r="AU1116" s="24"/>
      <c r="AV1116" s="24"/>
      <c r="AW1116" s="24"/>
      <c r="AX1116" s="24"/>
      <c r="AY1116" s="24"/>
    </row>
    <row r="1117" spans="1:51" x14ac:dyDescent="0.35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  <c r="AA1117" s="24"/>
      <c r="AB1117" s="24"/>
      <c r="AC1117" s="24"/>
      <c r="AD1117" s="24"/>
      <c r="AE1117" s="24"/>
      <c r="AF1117" s="24"/>
      <c r="AG1117" s="24"/>
      <c r="AH1117" s="24"/>
      <c r="AI1117" s="24"/>
      <c r="AJ1117" s="24"/>
      <c r="AK1117" s="24"/>
      <c r="AL1117" s="24"/>
      <c r="AM1117" s="24"/>
      <c r="AN1117" s="24"/>
      <c r="AO1117" s="24"/>
      <c r="AP1117" s="24"/>
      <c r="AQ1117" s="24"/>
      <c r="AR1117" s="24"/>
      <c r="AS1117" s="24"/>
      <c r="AT1117" s="24"/>
      <c r="AU1117" s="24"/>
      <c r="AV1117" s="24"/>
      <c r="AW1117" s="24"/>
      <c r="AX1117" s="24"/>
      <c r="AY1117" s="24"/>
    </row>
    <row r="1118" spans="1:51" x14ac:dyDescent="0.35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  <c r="AA1118" s="24"/>
      <c r="AB1118" s="24"/>
      <c r="AC1118" s="24"/>
      <c r="AD1118" s="24"/>
      <c r="AE1118" s="24"/>
      <c r="AF1118" s="24"/>
      <c r="AG1118" s="24"/>
      <c r="AH1118" s="24"/>
      <c r="AI1118" s="24"/>
      <c r="AJ1118" s="24"/>
      <c r="AK1118" s="24"/>
      <c r="AL1118" s="24"/>
      <c r="AM1118" s="24"/>
      <c r="AN1118" s="24"/>
      <c r="AO1118" s="24"/>
      <c r="AP1118" s="24"/>
      <c r="AQ1118" s="24"/>
      <c r="AR1118" s="24"/>
      <c r="AS1118" s="24"/>
      <c r="AT1118" s="24"/>
      <c r="AU1118" s="24"/>
      <c r="AV1118" s="24"/>
      <c r="AW1118" s="24"/>
      <c r="AX1118" s="24"/>
      <c r="AY1118" s="24"/>
    </row>
    <row r="1119" spans="1:51" x14ac:dyDescent="0.35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  <c r="AC1119" s="24"/>
      <c r="AD1119" s="24"/>
      <c r="AE1119" s="24"/>
      <c r="AF1119" s="24"/>
      <c r="AG1119" s="24"/>
      <c r="AH1119" s="24"/>
      <c r="AI1119" s="24"/>
      <c r="AJ1119" s="24"/>
      <c r="AK1119" s="24"/>
      <c r="AL1119" s="24"/>
      <c r="AM1119" s="24"/>
      <c r="AN1119" s="24"/>
      <c r="AO1119" s="24"/>
      <c r="AP1119" s="24"/>
      <c r="AQ1119" s="24"/>
      <c r="AR1119" s="24"/>
      <c r="AS1119" s="24"/>
      <c r="AT1119" s="24"/>
      <c r="AU1119" s="24"/>
      <c r="AV1119" s="24"/>
      <c r="AW1119" s="24"/>
      <c r="AX1119" s="24"/>
      <c r="AY1119" s="24"/>
    </row>
    <row r="1120" spans="1:51" x14ac:dyDescent="0.35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  <c r="AA1120" s="24"/>
      <c r="AB1120" s="24"/>
      <c r="AC1120" s="24"/>
      <c r="AD1120" s="24"/>
      <c r="AE1120" s="24"/>
      <c r="AF1120" s="24"/>
      <c r="AG1120" s="24"/>
      <c r="AH1120" s="24"/>
      <c r="AI1120" s="24"/>
      <c r="AJ1120" s="24"/>
      <c r="AK1120" s="24"/>
      <c r="AL1120" s="24"/>
      <c r="AM1120" s="24"/>
      <c r="AN1120" s="24"/>
      <c r="AO1120" s="24"/>
      <c r="AP1120" s="24"/>
      <c r="AQ1120" s="24"/>
      <c r="AR1120" s="24"/>
      <c r="AS1120" s="24"/>
      <c r="AT1120" s="24"/>
      <c r="AU1120" s="24"/>
      <c r="AV1120" s="24"/>
      <c r="AW1120" s="24"/>
      <c r="AX1120" s="24"/>
      <c r="AY1120" s="24"/>
    </row>
    <row r="1121" spans="1:51" x14ac:dyDescent="0.35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  <c r="AD1121" s="24"/>
      <c r="AE1121" s="24"/>
      <c r="AF1121" s="24"/>
      <c r="AG1121" s="24"/>
      <c r="AH1121" s="24"/>
      <c r="AI1121" s="24"/>
      <c r="AJ1121" s="24"/>
      <c r="AK1121" s="24"/>
      <c r="AL1121" s="24"/>
      <c r="AM1121" s="24"/>
      <c r="AN1121" s="24"/>
      <c r="AO1121" s="24"/>
      <c r="AP1121" s="24"/>
      <c r="AQ1121" s="24"/>
      <c r="AR1121" s="24"/>
      <c r="AS1121" s="24"/>
      <c r="AT1121" s="24"/>
      <c r="AU1121" s="24"/>
      <c r="AV1121" s="24"/>
      <c r="AW1121" s="24"/>
      <c r="AX1121" s="24"/>
      <c r="AY1121" s="24"/>
    </row>
    <row r="1122" spans="1:51" x14ac:dyDescent="0.35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  <c r="AA1122" s="24"/>
      <c r="AB1122" s="24"/>
      <c r="AC1122" s="24"/>
      <c r="AD1122" s="24"/>
      <c r="AE1122" s="24"/>
      <c r="AF1122" s="24"/>
      <c r="AG1122" s="24"/>
      <c r="AH1122" s="24"/>
      <c r="AI1122" s="24"/>
      <c r="AJ1122" s="24"/>
      <c r="AK1122" s="24"/>
      <c r="AL1122" s="24"/>
      <c r="AM1122" s="24"/>
      <c r="AN1122" s="24"/>
      <c r="AO1122" s="24"/>
      <c r="AP1122" s="24"/>
      <c r="AQ1122" s="24"/>
      <c r="AR1122" s="24"/>
      <c r="AS1122" s="24"/>
      <c r="AT1122" s="24"/>
      <c r="AU1122" s="24"/>
      <c r="AV1122" s="24"/>
      <c r="AW1122" s="24"/>
      <c r="AX1122" s="24"/>
      <c r="AY1122" s="24"/>
    </row>
    <row r="1123" spans="1:51" x14ac:dyDescent="0.35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  <c r="AC1123" s="24"/>
      <c r="AD1123" s="24"/>
      <c r="AE1123" s="24"/>
      <c r="AF1123" s="24"/>
      <c r="AG1123" s="24"/>
      <c r="AH1123" s="24"/>
      <c r="AI1123" s="24"/>
      <c r="AJ1123" s="24"/>
      <c r="AK1123" s="24"/>
      <c r="AL1123" s="24"/>
      <c r="AM1123" s="24"/>
      <c r="AN1123" s="24"/>
      <c r="AO1123" s="24"/>
      <c r="AP1123" s="24"/>
      <c r="AQ1123" s="24"/>
      <c r="AR1123" s="24"/>
      <c r="AS1123" s="24"/>
      <c r="AT1123" s="24"/>
      <c r="AU1123" s="24"/>
      <c r="AV1123" s="24"/>
      <c r="AW1123" s="24"/>
      <c r="AX1123" s="24"/>
      <c r="AY1123" s="24"/>
    </row>
    <row r="1124" spans="1:51" x14ac:dyDescent="0.35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  <c r="AA1124" s="24"/>
      <c r="AB1124" s="24"/>
      <c r="AC1124" s="24"/>
      <c r="AD1124" s="24"/>
      <c r="AE1124" s="24"/>
      <c r="AF1124" s="24"/>
      <c r="AG1124" s="24"/>
      <c r="AH1124" s="24"/>
      <c r="AI1124" s="24"/>
      <c r="AJ1124" s="24"/>
      <c r="AK1124" s="24"/>
      <c r="AL1124" s="24"/>
      <c r="AM1124" s="24"/>
      <c r="AN1124" s="24"/>
      <c r="AO1124" s="24"/>
      <c r="AP1124" s="24"/>
      <c r="AQ1124" s="24"/>
      <c r="AR1124" s="24"/>
      <c r="AS1124" s="24"/>
      <c r="AT1124" s="24"/>
      <c r="AU1124" s="24"/>
      <c r="AV1124" s="24"/>
      <c r="AW1124" s="24"/>
      <c r="AX1124" s="24"/>
      <c r="AY1124" s="24"/>
    </row>
    <row r="1125" spans="1:51" x14ac:dyDescent="0.35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  <c r="AA1125" s="24"/>
      <c r="AB1125" s="24"/>
      <c r="AC1125" s="24"/>
      <c r="AD1125" s="24"/>
      <c r="AE1125" s="24"/>
      <c r="AF1125" s="24"/>
      <c r="AG1125" s="24"/>
      <c r="AH1125" s="24"/>
      <c r="AI1125" s="24"/>
      <c r="AJ1125" s="24"/>
      <c r="AK1125" s="24"/>
      <c r="AL1125" s="24"/>
      <c r="AM1125" s="24"/>
      <c r="AN1125" s="24"/>
      <c r="AO1125" s="24"/>
      <c r="AP1125" s="24"/>
      <c r="AQ1125" s="24"/>
      <c r="AR1125" s="24"/>
      <c r="AS1125" s="24"/>
      <c r="AT1125" s="24"/>
      <c r="AU1125" s="24"/>
      <c r="AV1125" s="24"/>
      <c r="AW1125" s="24"/>
      <c r="AX1125" s="24"/>
      <c r="AY1125" s="24"/>
    </row>
    <row r="1126" spans="1:51" x14ac:dyDescent="0.35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  <c r="AD1126" s="24"/>
      <c r="AE1126" s="24"/>
      <c r="AF1126" s="24"/>
      <c r="AG1126" s="24"/>
      <c r="AH1126" s="24"/>
      <c r="AI1126" s="24"/>
      <c r="AJ1126" s="24"/>
      <c r="AK1126" s="24"/>
      <c r="AL1126" s="24"/>
      <c r="AM1126" s="24"/>
      <c r="AN1126" s="24"/>
      <c r="AO1126" s="24"/>
      <c r="AP1126" s="24"/>
      <c r="AQ1126" s="24"/>
      <c r="AR1126" s="24"/>
      <c r="AS1126" s="24"/>
      <c r="AT1126" s="24"/>
      <c r="AU1126" s="24"/>
      <c r="AV1126" s="24"/>
      <c r="AW1126" s="24"/>
      <c r="AX1126" s="24"/>
      <c r="AY1126" s="24"/>
    </row>
    <row r="1127" spans="1:51" x14ac:dyDescent="0.35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4"/>
      <c r="AE1127" s="24"/>
      <c r="AF1127" s="24"/>
      <c r="AG1127" s="24"/>
      <c r="AH1127" s="24"/>
      <c r="AI1127" s="24"/>
      <c r="AJ1127" s="24"/>
      <c r="AK1127" s="24"/>
      <c r="AL1127" s="24"/>
      <c r="AM1127" s="24"/>
      <c r="AN1127" s="24"/>
      <c r="AO1127" s="24"/>
      <c r="AP1127" s="24"/>
      <c r="AQ1127" s="24"/>
      <c r="AR1127" s="24"/>
      <c r="AS1127" s="24"/>
      <c r="AT1127" s="24"/>
      <c r="AU1127" s="24"/>
      <c r="AV1127" s="24"/>
      <c r="AW1127" s="24"/>
      <c r="AX1127" s="24"/>
      <c r="AY1127" s="24"/>
    </row>
    <row r="1128" spans="1:51" x14ac:dyDescent="0.35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  <c r="AA1128" s="24"/>
      <c r="AB1128" s="24"/>
      <c r="AC1128" s="24"/>
      <c r="AD1128" s="24"/>
      <c r="AE1128" s="24"/>
      <c r="AF1128" s="24"/>
      <c r="AG1128" s="24"/>
      <c r="AH1128" s="24"/>
      <c r="AI1128" s="24"/>
      <c r="AJ1128" s="24"/>
      <c r="AK1128" s="24"/>
      <c r="AL1128" s="24"/>
      <c r="AM1128" s="24"/>
      <c r="AN1128" s="24"/>
      <c r="AO1128" s="24"/>
      <c r="AP1128" s="24"/>
      <c r="AQ1128" s="24"/>
      <c r="AR1128" s="24"/>
      <c r="AS1128" s="24"/>
      <c r="AT1128" s="24"/>
      <c r="AU1128" s="24"/>
      <c r="AV1128" s="24"/>
      <c r="AW1128" s="24"/>
      <c r="AX1128" s="24"/>
      <c r="AY1128" s="24"/>
    </row>
    <row r="1129" spans="1:51" x14ac:dyDescent="0.35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  <c r="AA1129" s="24"/>
      <c r="AB1129" s="24"/>
      <c r="AC1129" s="24"/>
      <c r="AD1129" s="24"/>
      <c r="AE1129" s="24"/>
      <c r="AF1129" s="24"/>
      <c r="AG1129" s="24"/>
      <c r="AH1129" s="24"/>
      <c r="AI1129" s="24"/>
      <c r="AJ1129" s="24"/>
      <c r="AK1129" s="24"/>
      <c r="AL1129" s="24"/>
      <c r="AM1129" s="24"/>
      <c r="AN1129" s="24"/>
      <c r="AO1129" s="24"/>
      <c r="AP1129" s="24"/>
      <c r="AQ1129" s="24"/>
      <c r="AR1129" s="24"/>
      <c r="AS1129" s="24"/>
      <c r="AT1129" s="24"/>
      <c r="AU1129" s="24"/>
      <c r="AV1129" s="24"/>
      <c r="AW1129" s="24"/>
      <c r="AX1129" s="24"/>
      <c r="AY1129" s="24"/>
    </row>
    <row r="1130" spans="1:51" x14ac:dyDescent="0.35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  <c r="AA1130" s="24"/>
      <c r="AB1130" s="24"/>
      <c r="AC1130" s="24"/>
      <c r="AD1130" s="24"/>
      <c r="AE1130" s="24"/>
      <c r="AF1130" s="24"/>
      <c r="AG1130" s="24"/>
      <c r="AH1130" s="24"/>
      <c r="AI1130" s="24"/>
      <c r="AJ1130" s="24"/>
      <c r="AK1130" s="24"/>
      <c r="AL1130" s="24"/>
      <c r="AM1130" s="24"/>
      <c r="AN1130" s="24"/>
      <c r="AO1130" s="24"/>
      <c r="AP1130" s="24"/>
      <c r="AQ1130" s="24"/>
      <c r="AR1130" s="24"/>
      <c r="AS1130" s="24"/>
      <c r="AT1130" s="24"/>
      <c r="AU1130" s="24"/>
      <c r="AV1130" s="24"/>
      <c r="AW1130" s="24"/>
      <c r="AX1130" s="24"/>
      <c r="AY1130" s="24"/>
    </row>
    <row r="1131" spans="1:51" x14ac:dyDescent="0.35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  <c r="AD1131" s="24"/>
      <c r="AE1131" s="24"/>
      <c r="AF1131" s="24"/>
      <c r="AG1131" s="24"/>
      <c r="AH1131" s="24"/>
      <c r="AI1131" s="24"/>
      <c r="AJ1131" s="24"/>
      <c r="AK1131" s="24"/>
      <c r="AL1131" s="24"/>
      <c r="AM1131" s="24"/>
      <c r="AN1131" s="24"/>
      <c r="AO1131" s="24"/>
      <c r="AP1131" s="24"/>
      <c r="AQ1131" s="24"/>
      <c r="AR1131" s="24"/>
      <c r="AS1131" s="24"/>
      <c r="AT1131" s="24"/>
      <c r="AU1131" s="24"/>
      <c r="AV1131" s="24"/>
      <c r="AW1131" s="24"/>
      <c r="AX1131" s="24"/>
      <c r="AY1131" s="24"/>
    </row>
    <row r="1132" spans="1:51" x14ac:dyDescent="0.35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  <c r="AA1132" s="24"/>
      <c r="AB1132" s="24"/>
      <c r="AC1132" s="24"/>
      <c r="AD1132" s="24"/>
      <c r="AE1132" s="24"/>
      <c r="AF1132" s="24"/>
      <c r="AG1132" s="24"/>
      <c r="AH1132" s="24"/>
      <c r="AI1132" s="24"/>
      <c r="AJ1132" s="24"/>
      <c r="AK1132" s="24"/>
      <c r="AL1132" s="24"/>
      <c r="AM1132" s="24"/>
      <c r="AN1132" s="24"/>
      <c r="AO1132" s="24"/>
      <c r="AP1132" s="24"/>
      <c r="AQ1132" s="24"/>
      <c r="AR1132" s="24"/>
      <c r="AS1132" s="24"/>
      <c r="AT1132" s="24"/>
      <c r="AU1132" s="24"/>
      <c r="AV1132" s="24"/>
      <c r="AW1132" s="24"/>
      <c r="AX1132" s="24"/>
      <c r="AY1132" s="24"/>
    </row>
    <row r="1133" spans="1:51" x14ac:dyDescent="0.35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  <c r="AA1133" s="24"/>
      <c r="AB1133" s="24"/>
      <c r="AC1133" s="24"/>
      <c r="AD1133" s="24"/>
      <c r="AE1133" s="24"/>
      <c r="AF1133" s="24"/>
      <c r="AG1133" s="24"/>
      <c r="AH1133" s="24"/>
      <c r="AI1133" s="24"/>
      <c r="AJ1133" s="24"/>
      <c r="AK1133" s="24"/>
      <c r="AL1133" s="24"/>
      <c r="AM1133" s="24"/>
      <c r="AN1133" s="24"/>
      <c r="AO1133" s="24"/>
      <c r="AP1133" s="24"/>
      <c r="AQ1133" s="24"/>
      <c r="AR1133" s="24"/>
      <c r="AS1133" s="24"/>
      <c r="AT1133" s="24"/>
      <c r="AU1133" s="24"/>
      <c r="AV1133" s="24"/>
      <c r="AW1133" s="24"/>
      <c r="AX1133" s="24"/>
      <c r="AY1133" s="24"/>
    </row>
    <row r="1134" spans="1:51" x14ac:dyDescent="0.35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  <c r="AA1134" s="24"/>
      <c r="AB1134" s="24"/>
      <c r="AC1134" s="24"/>
      <c r="AD1134" s="24"/>
      <c r="AE1134" s="24"/>
      <c r="AF1134" s="24"/>
      <c r="AG1134" s="24"/>
      <c r="AH1134" s="24"/>
      <c r="AI1134" s="24"/>
      <c r="AJ1134" s="24"/>
      <c r="AK1134" s="24"/>
      <c r="AL1134" s="24"/>
      <c r="AM1134" s="24"/>
      <c r="AN1134" s="24"/>
      <c r="AO1134" s="24"/>
      <c r="AP1134" s="24"/>
      <c r="AQ1134" s="24"/>
      <c r="AR1134" s="24"/>
      <c r="AS1134" s="24"/>
      <c r="AT1134" s="24"/>
      <c r="AU1134" s="24"/>
      <c r="AV1134" s="24"/>
      <c r="AW1134" s="24"/>
      <c r="AX1134" s="24"/>
      <c r="AY1134" s="24"/>
    </row>
    <row r="1135" spans="1:51" x14ac:dyDescent="0.35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  <c r="AA1135" s="24"/>
      <c r="AB1135" s="24"/>
      <c r="AC1135" s="24"/>
      <c r="AD1135" s="24"/>
      <c r="AE1135" s="24"/>
      <c r="AF1135" s="24"/>
      <c r="AG1135" s="24"/>
      <c r="AH1135" s="24"/>
      <c r="AI1135" s="24"/>
      <c r="AJ1135" s="24"/>
      <c r="AK1135" s="24"/>
      <c r="AL1135" s="24"/>
      <c r="AM1135" s="24"/>
      <c r="AN1135" s="24"/>
      <c r="AO1135" s="24"/>
      <c r="AP1135" s="24"/>
      <c r="AQ1135" s="24"/>
      <c r="AR1135" s="24"/>
      <c r="AS1135" s="24"/>
      <c r="AT1135" s="24"/>
      <c r="AU1135" s="24"/>
      <c r="AV1135" s="24"/>
      <c r="AW1135" s="24"/>
      <c r="AX1135" s="24"/>
      <c r="AY1135" s="24"/>
    </row>
    <row r="1136" spans="1:51" x14ac:dyDescent="0.35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  <c r="AA1136" s="24"/>
      <c r="AB1136" s="24"/>
      <c r="AC1136" s="24"/>
      <c r="AD1136" s="24"/>
      <c r="AE1136" s="24"/>
      <c r="AF1136" s="24"/>
      <c r="AG1136" s="24"/>
      <c r="AH1136" s="24"/>
      <c r="AI1136" s="24"/>
      <c r="AJ1136" s="24"/>
      <c r="AK1136" s="24"/>
      <c r="AL1136" s="24"/>
      <c r="AM1136" s="24"/>
      <c r="AN1136" s="24"/>
      <c r="AO1136" s="24"/>
      <c r="AP1136" s="24"/>
      <c r="AQ1136" s="24"/>
      <c r="AR1136" s="24"/>
      <c r="AS1136" s="24"/>
      <c r="AT1136" s="24"/>
      <c r="AU1136" s="24"/>
      <c r="AV1136" s="24"/>
      <c r="AW1136" s="24"/>
      <c r="AX1136" s="24"/>
      <c r="AY1136" s="24"/>
    </row>
    <row r="1137" spans="1:51" x14ac:dyDescent="0.35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  <c r="AA1137" s="24"/>
      <c r="AB1137" s="24"/>
      <c r="AC1137" s="24"/>
      <c r="AD1137" s="24"/>
      <c r="AE1137" s="24"/>
      <c r="AF1137" s="24"/>
      <c r="AG1137" s="24"/>
      <c r="AH1137" s="24"/>
      <c r="AI1137" s="24"/>
      <c r="AJ1137" s="24"/>
      <c r="AK1137" s="24"/>
      <c r="AL1137" s="24"/>
      <c r="AM1137" s="24"/>
      <c r="AN1137" s="24"/>
      <c r="AO1137" s="24"/>
      <c r="AP1137" s="24"/>
      <c r="AQ1137" s="24"/>
      <c r="AR1137" s="24"/>
      <c r="AS1137" s="24"/>
      <c r="AT1137" s="24"/>
      <c r="AU1137" s="24"/>
      <c r="AV1137" s="24"/>
      <c r="AW1137" s="24"/>
      <c r="AX1137" s="24"/>
      <c r="AY1137" s="24"/>
    </row>
    <row r="1138" spans="1:51" x14ac:dyDescent="0.35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  <c r="AA1138" s="24"/>
      <c r="AB1138" s="24"/>
      <c r="AC1138" s="24"/>
      <c r="AD1138" s="24"/>
      <c r="AE1138" s="24"/>
      <c r="AF1138" s="24"/>
      <c r="AG1138" s="24"/>
      <c r="AH1138" s="24"/>
      <c r="AI1138" s="24"/>
      <c r="AJ1138" s="24"/>
      <c r="AK1138" s="24"/>
      <c r="AL1138" s="24"/>
      <c r="AM1138" s="24"/>
      <c r="AN1138" s="24"/>
      <c r="AO1138" s="24"/>
      <c r="AP1138" s="24"/>
      <c r="AQ1138" s="24"/>
      <c r="AR1138" s="24"/>
      <c r="AS1138" s="24"/>
      <c r="AT1138" s="24"/>
      <c r="AU1138" s="24"/>
      <c r="AV1138" s="24"/>
      <c r="AW1138" s="24"/>
      <c r="AX1138" s="24"/>
      <c r="AY1138" s="24"/>
    </row>
    <row r="1139" spans="1:51" x14ac:dyDescent="0.35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  <c r="AA1139" s="24"/>
      <c r="AB1139" s="24"/>
      <c r="AC1139" s="24"/>
      <c r="AD1139" s="24"/>
      <c r="AE1139" s="24"/>
      <c r="AF1139" s="24"/>
      <c r="AG1139" s="24"/>
      <c r="AH1139" s="24"/>
      <c r="AI1139" s="24"/>
      <c r="AJ1139" s="24"/>
      <c r="AK1139" s="24"/>
      <c r="AL1139" s="24"/>
      <c r="AM1139" s="24"/>
      <c r="AN1139" s="24"/>
      <c r="AO1139" s="24"/>
      <c r="AP1139" s="24"/>
      <c r="AQ1139" s="24"/>
      <c r="AR1139" s="24"/>
      <c r="AS1139" s="24"/>
      <c r="AT1139" s="24"/>
      <c r="AU1139" s="24"/>
      <c r="AV1139" s="24"/>
      <c r="AW1139" s="24"/>
      <c r="AX1139" s="24"/>
      <c r="AY1139" s="24"/>
    </row>
    <row r="1140" spans="1:51" x14ac:dyDescent="0.35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  <c r="AA1140" s="24"/>
      <c r="AB1140" s="24"/>
      <c r="AC1140" s="24"/>
      <c r="AD1140" s="24"/>
      <c r="AE1140" s="24"/>
      <c r="AF1140" s="24"/>
      <c r="AG1140" s="24"/>
      <c r="AH1140" s="24"/>
      <c r="AI1140" s="24"/>
      <c r="AJ1140" s="24"/>
      <c r="AK1140" s="24"/>
      <c r="AL1140" s="24"/>
      <c r="AM1140" s="24"/>
      <c r="AN1140" s="24"/>
      <c r="AO1140" s="24"/>
      <c r="AP1140" s="24"/>
      <c r="AQ1140" s="24"/>
      <c r="AR1140" s="24"/>
      <c r="AS1140" s="24"/>
      <c r="AT1140" s="24"/>
      <c r="AU1140" s="24"/>
      <c r="AV1140" s="24"/>
      <c r="AW1140" s="24"/>
      <c r="AX1140" s="24"/>
      <c r="AY1140" s="24"/>
    </row>
    <row r="1141" spans="1:51" x14ac:dyDescent="0.35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  <c r="AA1141" s="24"/>
      <c r="AB1141" s="24"/>
      <c r="AC1141" s="24"/>
      <c r="AD1141" s="24"/>
      <c r="AE1141" s="24"/>
      <c r="AF1141" s="24"/>
      <c r="AG1141" s="24"/>
      <c r="AH1141" s="24"/>
      <c r="AI1141" s="24"/>
      <c r="AJ1141" s="24"/>
      <c r="AK1141" s="24"/>
      <c r="AL1141" s="24"/>
      <c r="AM1141" s="24"/>
      <c r="AN1141" s="24"/>
      <c r="AO1141" s="24"/>
      <c r="AP1141" s="24"/>
      <c r="AQ1141" s="24"/>
      <c r="AR1141" s="24"/>
      <c r="AS1141" s="24"/>
      <c r="AT1141" s="24"/>
      <c r="AU1141" s="24"/>
      <c r="AV1141" s="24"/>
      <c r="AW1141" s="24"/>
      <c r="AX1141" s="24"/>
      <c r="AY1141" s="24"/>
    </row>
    <row r="1142" spans="1:51" x14ac:dyDescent="0.35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  <c r="AA1142" s="24"/>
      <c r="AB1142" s="24"/>
      <c r="AC1142" s="24"/>
      <c r="AD1142" s="24"/>
      <c r="AE1142" s="24"/>
      <c r="AF1142" s="24"/>
      <c r="AG1142" s="24"/>
      <c r="AH1142" s="24"/>
      <c r="AI1142" s="24"/>
      <c r="AJ1142" s="24"/>
      <c r="AK1142" s="24"/>
      <c r="AL1142" s="24"/>
      <c r="AM1142" s="24"/>
      <c r="AN1142" s="24"/>
      <c r="AO1142" s="24"/>
      <c r="AP1142" s="24"/>
      <c r="AQ1142" s="24"/>
      <c r="AR1142" s="24"/>
      <c r="AS1142" s="24"/>
      <c r="AT1142" s="24"/>
      <c r="AU1142" s="24"/>
      <c r="AV1142" s="24"/>
      <c r="AW1142" s="24"/>
      <c r="AX1142" s="24"/>
      <c r="AY1142" s="24"/>
    </row>
    <row r="1143" spans="1:51" x14ac:dyDescent="0.35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  <c r="AD1143" s="24"/>
      <c r="AE1143" s="24"/>
      <c r="AF1143" s="24"/>
      <c r="AG1143" s="24"/>
      <c r="AH1143" s="24"/>
      <c r="AI1143" s="24"/>
      <c r="AJ1143" s="24"/>
      <c r="AK1143" s="24"/>
      <c r="AL1143" s="24"/>
      <c r="AM1143" s="24"/>
      <c r="AN1143" s="24"/>
      <c r="AO1143" s="24"/>
      <c r="AP1143" s="24"/>
      <c r="AQ1143" s="24"/>
      <c r="AR1143" s="24"/>
      <c r="AS1143" s="24"/>
      <c r="AT1143" s="24"/>
      <c r="AU1143" s="24"/>
      <c r="AV1143" s="24"/>
      <c r="AW1143" s="24"/>
      <c r="AX1143" s="24"/>
      <c r="AY1143" s="24"/>
    </row>
    <row r="1144" spans="1:51" x14ac:dyDescent="0.35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  <c r="AA1144" s="24"/>
      <c r="AB1144" s="24"/>
      <c r="AC1144" s="24"/>
      <c r="AD1144" s="24"/>
      <c r="AE1144" s="24"/>
      <c r="AF1144" s="24"/>
      <c r="AG1144" s="24"/>
      <c r="AH1144" s="24"/>
      <c r="AI1144" s="24"/>
      <c r="AJ1144" s="24"/>
      <c r="AK1144" s="24"/>
      <c r="AL1144" s="24"/>
      <c r="AM1144" s="24"/>
      <c r="AN1144" s="24"/>
      <c r="AO1144" s="24"/>
      <c r="AP1144" s="24"/>
      <c r="AQ1144" s="24"/>
      <c r="AR1144" s="24"/>
      <c r="AS1144" s="24"/>
      <c r="AT1144" s="24"/>
      <c r="AU1144" s="24"/>
      <c r="AV1144" s="24"/>
      <c r="AW1144" s="24"/>
      <c r="AX1144" s="24"/>
      <c r="AY1144" s="24"/>
    </row>
    <row r="1145" spans="1:51" x14ac:dyDescent="0.35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  <c r="AA1145" s="24"/>
      <c r="AB1145" s="24"/>
      <c r="AC1145" s="24"/>
      <c r="AD1145" s="24"/>
      <c r="AE1145" s="24"/>
      <c r="AF1145" s="24"/>
      <c r="AG1145" s="24"/>
      <c r="AH1145" s="24"/>
      <c r="AI1145" s="24"/>
      <c r="AJ1145" s="24"/>
      <c r="AK1145" s="24"/>
      <c r="AL1145" s="24"/>
      <c r="AM1145" s="24"/>
      <c r="AN1145" s="24"/>
      <c r="AO1145" s="24"/>
      <c r="AP1145" s="24"/>
      <c r="AQ1145" s="24"/>
      <c r="AR1145" s="24"/>
      <c r="AS1145" s="24"/>
      <c r="AT1145" s="24"/>
      <c r="AU1145" s="24"/>
      <c r="AV1145" s="24"/>
      <c r="AW1145" s="24"/>
      <c r="AX1145" s="24"/>
      <c r="AY1145" s="24"/>
    </row>
    <row r="1146" spans="1:51" x14ac:dyDescent="0.35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  <c r="AA1146" s="24"/>
      <c r="AB1146" s="24"/>
      <c r="AC1146" s="24"/>
      <c r="AD1146" s="24"/>
      <c r="AE1146" s="24"/>
      <c r="AF1146" s="24"/>
      <c r="AG1146" s="24"/>
      <c r="AH1146" s="24"/>
      <c r="AI1146" s="24"/>
      <c r="AJ1146" s="24"/>
      <c r="AK1146" s="24"/>
      <c r="AL1146" s="24"/>
      <c r="AM1146" s="24"/>
      <c r="AN1146" s="24"/>
      <c r="AO1146" s="24"/>
      <c r="AP1146" s="24"/>
      <c r="AQ1146" s="24"/>
      <c r="AR1146" s="24"/>
      <c r="AS1146" s="24"/>
      <c r="AT1146" s="24"/>
      <c r="AU1146" s="24"/>
      <c r="AV1146" s="24"/>
      <c r="AW1146" s="24"/>
      <c r="AX1146" s="24"/>
      <c r="AY1146" s="24"/>
    </row>
    <row r="1147" spans="1:51" x14ac:dyDescent="0.35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  <c r="AC1147" s="24"/>
      <c r="AD1147" s="24"/>
      <c r="AE1147" s="24"/>
      <c r="AF1147" s="24"/>
      <c r="AG1147" s="24"/>
      <c r="AH1147" s="24"/>
      <c r="AI1147" s="24"/>
      <c r="AJ1147" s="24"/>
      <c r="AK1147" s="24"/>
      <c r="AL1147" s="24"/>
      <c r="AM1147" s="24"/>
      <c r="AN1147" s="24"/>
      <c r="AO1147" s="24"/>
      <c r="AP1147" s="24"/>
      <c r="AQ1147" s="24"/>
      <c r="AR1147" s="24"/>
      <c r="AS1147" s="24"/>
      <c r="AT1147" s="24"/>
      <c r="AU1147" s="24"/>
      <c r="AV1147" s="24"/>
      <c r="AW1147" s="24"/>
      <c r="AX1147" s="24"/>
      <c r="AY1147" s="24"/>
    </row>
    <row r="1148" spans="1:51" x14ac:dyDescent="0.35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  <c r="AD1148" s="24"/>
      <c r="AE1148" s="24"/>
      <c r="AF1148" s="24"/>
      <c r="AG1148" s="24"/>
      <c r="AH1148" s="24"/>
      <c r="AI1148" s="24"/>
      <c r="AJ1148" s="24"/>
      <c r="AK1148" s="24"/>
      <c r="AL1148" s="24"/>
      <c r="AM1148" s="24"/>
      <c r="AN1148" s="24"/>
      <c r="AO1148" s="24"/>
      <c r="AP1148" s="24"/>
      <c r="AQ1148" s="24"/>
      <c r="AR1148" s="24"/>
      <c r="AS1148" s="24"/>
      <c r="AT1148" s="24"/>
      <c r="AU1148" s="24"/>
      <c r="AV1148" s="24"/>
      <c r="AW1148" s="24"/>
      <c r="AX1148" s="24"/>
      <c r="AY1148" s="24"/>
    </row>
    <row r="1149" spans="1:51" x14ac:dyDescent="0.35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  <c r="AA1149" s="24"/>
      <c r="AB1149" s="24"/>
      <c r="AC1149" s="24"/>
      <c r="AD1149" s="24"/>
      <c r="AE1149" s="24"/>
      <c r="AF1149" s="24"/>
      <c r="AG1149" s="24"/>
      <c r="AH1149" s="24"/>
      <c r="AI1149" s="24"/>
      <c r="AJ1149" s="24"/>
      <c r="AK1149" s="24"/>
      <c r="AL1149" s="24"/>
      <c r="AM1149" s="24"/>
      <c r="AN1149" s="24"/>
      <c r="AO1149" s="24"/>
      <c r="AP1149" s="24"/>
      <c r="AQ1149" s="24"/>
      <c r="AR1149" s="24"/>
      <c r="AS1149" s="24"/>
      <c r="AT1149" s="24"/>
      <c r="AU1149" s="24"/>
      <c r="AV1149" s="24"/>
      <c r="AW1149" s="24"/>
      <c r="AX1149" s="24"/>
      <c r="AY1149" s="24"/>
    </row>
    <row r="1150" spans="1:51" x14ac:dyDescent="0.35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  <c r="AA1150" s="24"/>
      <c r="AB1150" s="24"/>
      <c r="AC1150" s="24"/>
      <c r="AD1150" s="24"/>
      <c r="AE1150" s="24"/>
      <c r="AF1150" s="24"/>
      <c r="AG1150" s="24"/>
      <c r="AH1150" s="24"/>
      <c r="AI1150" s="24"/>
      <c r="AJ1150" s="24"/>
      <c r="AK1150" s="24"/>
      <c r="AL1150" s="24"/>
      <c r="AM1150" s="24"/>
      <c r="AN1150" s="24"/>
      <c r="AO1150" s="24"/>
      <c r="AP1150" s="24"/>
      <c r="AQ1150" s="24"/>
      <c r="AR1150" s="24"/>
      <c r="AS1150" s="24"/>
      <c r="AT1150" s="24"/>
      <c r="AU1150" s="24"/>
      <c r="AV1150" s="24"/>
      <c r="AW1150" s="24"/>
      <c r="AX1150" s="24"/>
      <c r="AY1150" s="24"/>
    </row>
    <row r="1151" spans="1:51" x14ac:dyDescent="0.35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  <c r="AA1151" s="24"/>
      <c r="AB1151" s="24"/>
      <c r="AC1151" s="24"/>
      <c r="AD1151" s="24"/>
      <c r="AE1151" s="24"/>
      <c r="AF1151" s="24"/>
      <c r="AG1151" s="24"/>
      <c r="AH1151" s="24"/>
      <c r="AI1151" s="24"/>
      <c r="AJ1151" s="24"/>
      <c r="AK1151" s="24"/>
      <c r="AL1151" s="24"/>
      <c r="AM1151" s="24"/>
      <c r="AN1151" s="24"/>
      <c r="AO1151" s="24"/>
      <c r="AP1151" s="24"/>
      <c r="AQ1151" s="24"/>
      <c r="AR1151" s="24"/>
      <c r="AS1151" s="24"/>
      <c r="AT1151" s="24"/>
      <c r="AU1151" s="24"/>
      <c r="AV1151" s="24"/>
      <c r="AW1151" s="24"/>
      <c r="AX1151" s="24"/>
      <c r="AY1151" s="24"/>
    </row>
    <row r="1152" spans="1:51" x14ac:dyDescent="0.35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  <c r="AA1152" s="24"/>
      <c r="AB1152" s="24"/>
      <c r="AC1152" s="24"/>
      <c r="AD1152" s="24"/>
      <c r="AE1152" s="24"/>
      <c r="AF1152" s="24"/>
      <c r="AG1152" s="24"/>
      <c r="AH1152" s="24"/>
      <c r="AI1152" s="24"/>
      <c r="AJ1152" s="24"/>
      <c r="AK1152" s="24"/>
      <c r="AL1152" s="24"/>
      <c r="AM1152" s="24"/>
      <c r="AN1152" s="24"/>
      <c r="AO1152" s="24"/>
      <c r="AP1152" s="24"/>
      <c r="AQ1152" s="24"/>
      <c r="AR1152" s="24"/>
      <c r="AS1152" s="24"/>
      <c r="AT1152" s="24"/>
      <c r="AU1152" s="24"/>
      <c r="AV1152" s="24"/>
      <c r="AW1152" s="24"/>
      <c r="AX1152" s="24"/>
      <c r="AY1152" s="24"/>
    </row>
    <row r="1153" spans="1:51" x14ac:dyDescent="0.35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  <c r="AC1153" s="24"/>
      <c r="AD1153" s="24"/>
      <c r="AE1153" s="24"/>
      <c r="AF1153" s="24"/>
      <c r="AG1153" s="24"/>
      <c r="AH1153" s="24"/>
      <c r="AI1153" s="24"/>
      <c r="AJ1153" s="24"/>
      <c r="AK1153" s="24"/>
      <c r="AL1153" s="24"/>
      <c r="AM1153" s="24"/>
      <c r="AN1153" s="24"/>
      <c r="AO1153" s="24"/>
      <c r="AP1153" s="24"/>
      <c r="AQ1153" s="24"/>
      <c r="AR1153" s="24"/>
      <c r="AS1153" s="24"/>
      <c r="AT1153" s="24"/>
      <c r="AU1153" s="24"/>
      <c r="AV1153" s="24"/>
      <c r="AW1153" s="24"/>
      <c r="AX1153" s="24"/>
      <c r="AY1153" s="24"/>
    </row>
    <row r="1154" spans="1:51" x14ac:dyDescent="0.35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/>
      <c r="AA1154" s="24"/>
      <c r="AB1154" s="24"/>
      <c r="AC1154" s="24"/>
      <c r="AD1154" s="24"/>
      <c r="AE1154" s="24"/>
      <c r="AF1154" s="24"/>
      <c r="AG1154" s="24"/>
      <c r="AH1154" s="24"/>
      <c r="AI1154" s="24"/>
      <c r="AJ1154" s="24"/>
      <c r="AK1154" s="24"/>
      <c r="AL1154" s="24"/>
      <c r="AM1154" s="24"/>
      <c r="AN1154" s="24"/>
      <c r="AO1154" s="24"/>
      <c r="AP1154" s="24"/>
      <c r="AQ1154" s="24"/>
      <c r="AR1154" s="24"/>
      <c r="AS1154" s="24"/>
      <c r="AT1154" s="24"/>
      <c r="AU1154" s="24"/>
      <c r="AV1154" s="24"/>
      <c r="AW1154" s="24"/>
      <c r="AX1154" s="24"/>
      <c r="AY1154" s="24"/>
    </row>
    <row r="1155" spans="1:51" x14ac:dyDescent="0.35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  <c r="AA1155" s="24"/>
      <c r="AB1155" s="24"/>
      <c r="AC1155" s="24"/>
      <c r="AD1155" s="24"/>
      <c r="AE1155" s="24"/>
      <c r="AF1155" s="24"/>
      <c r="AG1155" s="24"/>
      <c r="AH1155" s="24"/>
      <c r="AI1155" s="24"/>
      <c r="AJ1155" s="24"/>
      <c r="AK1155" s="24"/>
      <c r="AL1155" s="24"/>
      <c r="AM1155" s="24"/>
      <c r="AN1155" s="24"/>
      <c r="AO1155" s="24"/>
      <c r="AP1155" s="24"/>
      <c r="AQ1155" s="24"/>
      <c r="AR1155" s="24"/>
      <c r="AS1155" s="24"/>
      <c r="AT1155" s="24"/>
      <c r="AU1155" s="24"/>
      <c r="AV1155" s="24"/>
      <c r="AW1155" s="24"/>
      <c r="AX1155" s="24"/>
      <c r="AY1155" s="24"/>
    </row>
    <row r="1156" spans="1:51" x14ac:dyDescent="0.35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  <c r="AA1156" s="24"/>
      <c r="AB1156" s="24"/>
      <c r="AC1156" s="24"/>
      <c r="AD1156" s="24"/>
      <c r="AE1156" s="24"/>
      <c r="AF1156" s="24"/>
      <c r="AG1156" s="24"/>
      <c r="AH1156" s="24"/>
      <c r="AI1156" s="24"/>
      <c r="AJ1156" s="24"/>
      <c r="AK1156" s="24"/>
      <c r="AL1156" s="24"/>
      <c r="AM1156" s="24"/>
      <c r="AN1156" s="24"/>
      <c r="AO1156" s="24"/>
      <c r="AP1156" s="24"/>
      <c r="AQ1156" s="24"/>
      <c r="AR1156" s="24"/>
      <c r="AS1156" s="24"/>
      <c r="AT1156" s="24"/>
      <c r="AU1156" s="24"/>
      <c r="AV1156" s="24"/>
      <c r="AW1156" s="24"/>
      <c r="AX1156" s="24"/>
      <c r="AY1156" s="24"/>
    </row>
    <row r="1157" spans="1:51" x14ac:dyDescent="0.35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  <c r="AA1157" s="24"/>
      <c r="AB1157" s="24"/>
      <c r="AC1157" s="24"/>
      <c r="AD1157" s="24"/>
      <c r="AE1157" s="24"/>
      <c r="AF1157" s="24"/>
      <c r="AG1157" s="24"/>
      <c r="AH1157" s="24"/>
      <c r="AI1157" s="24"/>
      <c r="AJ1157" s="24"/>
      <c r="AK1157" s="24"/>
      <c r="AL1157" s="24"/>
      <c r="AM1157" s="24"/>
      <c r="AN1157" s="24"/>
      <c r="AO1157" s="24"/>
      <c r="AP1157" s="24"/>
      <c r="AQ1157" s="24"/>
      <c r="AR1157" s="24"/>
      <c r="AS1157" s="24"/>
      <c r="AT1157" s="24"/>
      <c r="AU1157" s="24"/>
      <c r="AV1157" s="24"/>
      <c r="AW1157" s="24"/>
      <c r="AX1157" s="24"/>
      <c r="AY1157" s="24"/>
    </row>
    <row r="1158" spans="1:51" x14ac:dyDescent="0.35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  <c r="AA1158" s="24"/>
      <c r="AB1158" s="24"/>
      <c r="AC1158" s="24"/>
      <c r="AD1158" s="24"/>
      <c r="AE1158" s="24"/>
      <c r="AF1158" s="24"/>
      <c r="AG1158" s="24"/>
      <c r="AH1158" s="24"/>
      <c r="AI1158" s="24"/>
      <c r="AJ1158" s="24"/>
      <c r="AK1158" s="24"/>
      <c r="AL1158" s="24"/>
      <c r="AM1158" s="24"/>
      <c r="AN1158" s="24"/>
      <c r="AO1158" s="24"/>
      <c r="AP1158" s="24"/>
      <c r="AQ1158" s="24"/>
      <c r="AR1158" s="24"/>
      <c r="AS1158" s="24"/>
      <c r="AT1158" s="24"/>
      <c r="AU1158" s="24"/>
      <c r="AV1158" s="24"/>
      <c r="AW1158" s="24"/>
      <c r="AX1158" s="24"/>
      <c r="AY1158" s="24"/>
    </row>
    <row r="1159" spans="1:51" x14ac:dyDescent="0.35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  <c r="AC1159" s="24"/>
      <c r="AD1159" s="24"/>
      <c r="AE1159" s="24"/>
      <c r="AF1159" s="24"/>
      <c r="AG1159" s="24"/>
      <c r="AH1159" s="24"/>
      <c r="AI1159" s="24"/>
      <c r="AJ1159" s="24"/>
      <c r="AK1159" s="24"/>
      <c r="AL1159" s="24"/>
      <c r="AM1159" s="24"/>
      <c r="AN1159" s="24"/>
      <c r="AO1159" s="24"/>
      <c r="AP1159" s="24"/>
      <c r="AQ1159" s="24"/>
      <c r="AR1159" s="24"/>
      <c r="AS1159" s="24"/>
      <c r="AT1159" s="24"/>
      <c r="AU1159" s="24"/>
      <c r="AV1159" s="24"/>
      <c r="AW1159" s="24"/>
      <c r="AX1159" s="24"/>
      <c r="AY1159" s="24"/>
    </row>
    <row r="1160" spans="1:51" x14ac:dyDescent="0.35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  <c r="AA1160" s="24"/>
      <c r="AB1160" s="24"/>
      <c r="AC1160" s="24"/>
      <c r="AD1160" s="24"/>
      <c r="AE1160" s="24"/>
      <c r="AF1160" s="24"/>
      <c r="AG1160" s="24"/>
      <c r="AH1160" s="24"/>
      <c r="AI1160" s="24"/>
      <c r="AJ1160" s="24"/>
      <c r="AK1160" s="24"/>
      <c r="AL1160" s="24"/>
      <c r="AM1160" s="24"/>
      <c r="AN1160" s="24"/>
      <c r="AO1160" s="24"/>
      <c r="AP1160" s="24"/>
      <c r="AQ1160" s="24"/>
      <c r="AR1160" s="24"/>
      <c r="AS1160" s="24"/>
      <c r="AT1160" s="24"/>
      <c r="AU1160" s="24"/>
      <c r="AV1160" s="24"/>
      <c r="AW1160" s="24"/>
      <c r="AX1160" s="24"/>
      <c r="AY1160" s="24"/>
    </row>
    <row r="1161" spans="1:51" x14ac:dyDescent="0.35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  <c r="AA1161" s="24"/>
      <c r="AB1161" s="24"/>
      <c r="AC1161" s="24"/>
      <c r="AD1161" s="24"/>
      <c r="AE1161" s="24"/>
      <c r="AF1161" s="24"/>
      <c r="AG1161" s="24"/>
      <c r="AH1161" s="24"/>
      <c r="AI1161" s="24"/>
      <c r="AJ1161" s="24"/>
      <c r="AK1161" s="24"/>
      <c r="AL1161" s="24"/>
      <c r="AM1161" s="24"/>
      <c r="AN1161" s="24"/>
      <c r="AO1161" s="24"/>
      <c r="AP1161" s="24"/>
      <c r="AQ1161" s="24"/>
      <c r="AR1161" s="24"/>
      <c r="AS1161" s="24"/>
      <c r="AT1161" s="24"/>
      <c r="AU1161" s="24"/>
      <c r="AV1161" s="24"/>
      <c r="AW1161" s="24"/>
      <c r="AX1161" s="24"/>
      <c r="AY1161" s="24"/>
    </row>
    <row r="1162" spans="1:51" x14ac:dyDescent="0.35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  <c r="AA1162" s="24"/>
      <c r="AB1162" s="24"/>
      <c r="AC1162" s="24"/>
      <c r="AD1162" s="24"/>
      <c r="AE1162" s="24"/>
      <c r="AF1162" s="24"/>
      <c r="AG1162" s="24"/>
      <c r="AH1162" s="24"/>
      <c r="AI1162" s="24"/>
      <c r="AJ1162" s="24"/>
      <c r="AK1162" s="24"/>
      <c r="AL1162" s="24"/>
      <c r="AM1162" s="24"/>
      <c r="AN1162" s="24"/>
      <c r="AO1162" s="24"/>
      <c r="AP1162" s="24"/>
      <c r="AQ1162" s="24"/>
      <c r="AR1162" s="24"/>
      <c r="AS1162" s="24"/>
      <c r="AT1162" s="24"/>
      <c r="AU1162" s="24"/>
      <c r="AV1162" s="24"/>
      <c r="AW1162" s="24"/>
      <c r="AX1162" s="24"/>
      <c r="AY1162" s="24"/>
    </row>
    <row r="1163" spans="1:51" x14ac:dyDescent="0.35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/>
      <c r="AB1163" s="24"/>
      <c r="AC1163" s="24"/>
      <c r="AD1163" s="24"/>
      <c r="AE1163" s="24"/>
      <c r="AF1163" s="24"/>
      <c r="AG1163" s="24"/>
      <c r="AH1163" s="24"/>
      <c r="AI1163" s="24"/>
      <c r="AJ1163" s="24"/>
      <c r="AK1163" s="24"/>
      <c r="AL1163" s="24"/>
      <c r="AM1163" s="24"/>
      <c r="AN1163" s="24"/>
      <c r="AO1163" s="24"/>
      <c r="AP1163" s="24"/>
      <c r="AQ1163" s="24"/>
      <c r="AR1163" s="24"/>
      <c r="AS1163" s="24"/>
      <c r="AT1163" s="24"/>
      <c r="AU1163" s="24"/>
      <c r="AV1163" s="24"/>
      <c r="AW1163" s="24"/>
      <c r="AX1163" s="24"/>
      <c r="AY1163" s="24"/>
    </row>
    <row r="1164" spans="1:51" x14ac:dyDescent="0.35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  <c r="AA1164" s="24"/>
      <c r="AB1164" s="24"/>
      <c r="AC1164" s="24"/>
      <c r="AD1164" s="24"/>
      <c r="AE1164" s="24"/>
      <c r="AF1164" s="24"/>
      <c r="AG1164" s="24"/>
      <c r="AH1164" s="24"/>
      <c r="AI1164" s="24"/>
      <c r="AJ1164" s="24"/>
      <c r="AK1164" s="24"/>
      <c r="AL1164" s="24"/>
      <c r="AM1164" s="24"/>
      <c r="AN1164" s="24"/>
      <c r="AO1164" s="24"/>
      <c r="AP1164" s="24"/>
      <c r="AQ1164" s="24"/>
      <c r="AR1164" s="24"/>
      <c r="AS1164" s="24"/>
      <c r="AT1164" s="24"/>
      <c r="AU1164" s="24"/>
      <c r="AV1164" s="24"/>
      <c r="AW1164" s="24"/>
      <c r="AX1164" s="24"/>
      <c r="AY1164" s="24"/>
    </row>
    <row r="1165" spans="1:51" x14ac:dyDescent="0.35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  <c r="AA1165" s="24"/>
      <c r="AB1165" s="24"/>
      <c r="AC1165" s="24"/>
      <c r="AD1165" s="24"/>
      <c r="AE1165" s="24"/>
      <c r="AF1165" s="24"/>
      <c r="AG1165" s="24"/>
      <c r="AH1165" s="24"/>
      <c r="AI1165" s="24"/>
      <c r="AJ1165" s="24"/>
      <c r="AK1165" s="24"/>
      <c r="AL1165" s="24"/>
      <c r="AM1165" s="24"/>
      <c r="AN1165" s="24"/>
      <c r="AO1165" s="24"/>
      <c r="AP1165" s="24"/>
      <c r="AQ1165" s="24"/>
      <c r="AR1165" s="24"/>
      <c r="AS1165" s="24"/>
      <c r="AT1165" s="24"/>
      <c r="AU1165" s="24"/>
      <c r="AV1165" s="24"/>
      <c r="AW1165" s="24"/>
      <c r="AX1165" s="24"/>
      <c r="AY1165" s="24"/>
    </row>
    <row r="1166" spans="1:51" x14ac:dyDescent="0.35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  <c r="AA1166" s="24"/>
      <c r="AB1166" s="24"/>
      <c r="AC1166" s="24"/>
      <c r="AD1166" s="24"/>
      <c r="AE1166" s="24"/>
      <c r="AF1166" s="24"/>
      <c r="AG1166" s="24"/>
      <c r="AH1166" s="24"/>
      <c r="AI1166" s="24"/>
      <c r="AJ1166" s="24"/>
      <c r="AK1166" s="24"/>
      <c r="AL1166" s="24"/>
      <c r="AM1166" s="24"/>
      <c r="AN1166" s="24"/>
      <c r="AO1166" s="24"/>
      <c r="AP1166" s="24"/>
      <c r="AQ1166" s="24"/>
      <c r="AR1166" s="24"/>
      <c r="AS1166" s="24"/>
      <c r="AT1166" s="24"/>
      <c r="AU1166" s="24"/>
      <c r="AV1166" s="24"/>
      <c r="AW1166" s="24"/>
      <c r="AX1166" s="24"/>
      <c r="AY1166" s="24"/>
    </row>
    <row r="1167" spans="1:51" x14ac:dyDescent="0.35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  <c r="AA1167" s="24"/>
      <c r="AB1167" s="24"/>
      <c r="AC1167" s="24"/>
      <c r="AD1167" s="24"/>
      <c r="AE1167" s="24"/>
      <c r="AF1167" s="24"/>
      <c r="AG1167" s="24"/>
      <c r="AH1167" s="24"/>
      <c r="AI1167" s="24"/>
      <c r="AJ1167" s="24"/>
      <c r="AK1167" s="24"/>
      <c r="AL1167" s="24"/>
      <c r="AM1167" s="24"/>
      <c r="AN1167" s="24"/>
      <c r="AO1167" s="24"/>
      <c r="AP1167" s="24"/>
      <c r="AQ1167" s="24"/>
      <c r="AR1167" s="24"/>
      <c r="AS1167" s="24"/>
      <c r="AT1167" s="24"/>
      <c r="AU1167" s="24"/>
      <c r="AV1167" s="24"/>
      <c r="AW1167" s="24"/>
      <c r="AX1167" s="24"/>
      <c r="AY1167" s="24"/>
    </row>
    <row r="1168" spans="1:51" x14ac:dyDescent="0.35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  <c r="AA1168" s="24"/>
      <c r="AB1168" s="24"/>
      <c r="AC1168" s="24"/>
      <c r="AD1168" s="24"/>
      <c r="AE1168" s="24"/>
      <c r="AF1168" s="24"/>
      <c r="AG1168" s="24"/>
      <c r="AH1168" s="24"/>
      <c r="AI1168" s="24"/>
      <c r="AJ1168" s="24"/>
      <c r="AK1168" s="24"/>
      <c r="AL1168" s="24"/>
      <c r="AM1168" s="24"/>
      <c r="AN1168" s="24"/>
      <c r="AO1168" s="24"/>
      <c r="AP1168" s="24"/>
      <c r="AQ1168" s="24"/>
      <c r="AR1168" s="24"/>
      <c r="AS1168" s="24"/>
      <c r="AT1168" s="24"/>
      <c r="AU1168" s="24"/>
      <c r="AV1168" s="24"/>
      <c r="AW1168" s="24"/>
      <c r="AX1168" s="24"/>
      <c r="AY1168" s="24"/>
    </row>
    <row r="1169" spans="1:51" x14ac:dyDescent="0.35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  <c r="AA1169" s="24"/>
      <c r="AB1169" s="24"/>
      <c r="AC1169" s="24"/>
      <c r="AD1169" s="24"/>
      <c r="AE1169" s="24"/>
      <c r="AF1169" s="24"/>
      <c r="AG1169" s="24"/>
      <c r="AH1169" s="24"/>
      <c r="AI1169" s="24"/>
      <c r="AJ1169" s="24"/>
      <c r="AK1169" s="24"/>
      <c r="AL1169" s="24"/>
      <c r="AM1169" s="24"/>
      <c r="AN1169" s="24"/>
      <c r="AO1169" s="24"/>
      <c r="AP1169" s="24"/>
      <c r="AQ1169" s="24"/>
      <c r="AR1169" s="24"/>
      <c r="AS1169" s="24"/>
      <c r="AT1169" s="24"/>
      <c r="AU1169" s="24"/>
      <c r="AV1169" s="24"/>
      <c r="AW1169" s="24"/>
      <c r="AX1169" s="24"/>
      <c r="AY1169" s="24"/>
    </row>
    <row r="1170" spans="1:51" x14ac:dyDescent="0.35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  <c r="AA1170" s="24"/>
      <c r="AB1170" s="24"/>
      <c r="AC1170" s="24"/>
      <c r="AD1170" s="24"/>
      <c r="AE1170" s="24"/>
      <c r="AF1170" s="24"/>
      <c r="AG1170" s="24"/>
      <c r="AH1170" s="24"/>
      <c r="AI1170" s="24"/>
      <c r="AJ1170" s="24"/>
      <c r="AK1170" s="24"/>
      <c r="AL1170" s="24"/>
      <c r="AM1170" s="24"/>
      <c r="AN1170" s="24"/>
      <c r="AO1170" s="24"/>
      <c r="AP1170" s="24"/>
      <c r="AQ1170" s="24"/>
      <c r="AR1170" s="24"/>
      <c r="AS1170" s="24"/>
      <c r="AT1170" s="24"/>
      <c r="AU1170" s="24"/>
      <c r="AV1170" s="24"/>
      <c r="AW1170" s="24"/>
      <c r="AX1170" s="24"/>
      <c r="AY1170" s="24"/>
    </row>
    <row r="1171" spans="1:51" x14ac:dyDescent="0.35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/>
      <c r="AB1171" s="24"/>
      <c r="AC1171" s="24"/>
      <c r="AD1171" s="24"/>
      <c r="AE1171" s="24"/>
      <c r="AF1171" s="24"/>
      <c r="AG1171" s="24"/>
      <c r="AH1171" s="24"/>
      <c r="AI1171" s="24"/>
      <c r="AJ1171" s="24"/>
      <c r="AK1171" s="24"/>
      <c r="AL1171" s="24"/>
      <c r="AM1171" s="24"/>
      <c r="AN1171" s="24"/>
      <c r="AO1171" s="24"/>
      <c r="AP1171" s="24"/>
      <c r="AQ1171" s="24"/>
      <c r="AR1171" s="24"/>
      <c r="AS1171" s="24"/>
      <c r="AT1171" s="24"/>
      <c r="AU1171" s="24"/>
      <c r="AV1171" s="24"/>
      <c r="AW1171" s="24"/>
      <c r="AX1171" s="24"/>
      <c r="AY1171" s="24"/>
    </row>
    <row r="1172" spans="1:51" x14ac:dyDescent="0.35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  <c r="AA1172" s="24"/>
      <c r="AB1172" s="24"/>
      <c r="AC1172" s="24"/>
      <c r="AD1172" s="24"/>
      <c r="AE1172" s="24"/>
      <c r="AF1172" s="24"/>
      <c r="AG1172" s="24"/>
      <c r="AH1172" s="24"/>
      <c r="AI1172" s="24"/>
      <c r="AJ1172" s="24"/>
      <c r="AK1172" s="24"/>
      <c r="AL1172" s="24"/>
      <c r="AM1172" s="24"/>
      <c r="AN1172" s="24"/>
      <c r="AO1172" s="24"/>
      <c r="AP1172" s="24"/>
      <c r="AQ1172" s="24"/>
      <c r="AR1172" s="24"/>
      <c r="AS1172" s="24"/>
      <c r="AT1172" s="24"/>
      <c r="AU1172" s="24"/>
      <c r="AV1172" s="24"/>
      <c r="AW1172" s="24"/>
      <c r="AX1172" s="24"/>
      <c r="AY1172" s="24"/>
    </row>
    <row r="1173" spans="1:51" x14ac:dyDescent="0.35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  <c r="AA1173" s="24"/>
      <c r="AB1173" s="24"/>
      <c r="AC1173" s="24"/>
      <c r="AD1173" s="24"/>
      <c r="AE1173" s="24"/>
      <c r="AF1173" s="24"/>
      <c r="AG1173" s="24"/>
      <c r="AH1173" s="24"/>
      <c r="AI1173" s="24"/>
      <c r="AJ1173" s="24"/>
      <c r="AK1173" s="24"/>
      <c r="AL1173" s="24"/>
      <c r="AM1173" s="24"/>
      <c r="AN1173" s="24"/>
      <c r="AO1173" s="24"/>
      <c r="AP1173" s="24"/>
      <c r="AQ1173" s="24"/>
      <c r="AR1173" s="24"/>
      <c r="AS1173" s="24"/>
      <c r="AT1173" s="24"/>
      <c r="AU1173" s="24"/>
      <c r="AV1173" s="24"/>
      <c r="AW1173" s="24"/>
      <c r="AX1173" s="24"/>
      <c r="AY1173" s="24"/>
    </row>
    <row r="1174" spans="1:51" x14ac:dyDescent="0.35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  <c r="AA1174" s="24"/>
      <c r="AB1174" s="24"/>
      <c r="AC1174" s="24"/>
      <c r="AD1174" s="24"/>
      <c r="AE1174" s="24"/>
      <c r="AF1174" s="24"/>
      <c r="AG1174" s="24"/>
      <c r="AH1174" s="24"/>
      <c r="AI1174" s="24"/>
      <c r="AJ1174" s="24"/>
      <c r="AK1174" s="24"/>
      <c r="AL1174" s="24"/>
      <c r="AM1174" s="24"/>
      <c r="AN1174" s="24"/>
      <c r="AO1174" s="24"/>
      <c r="AP1174" s="24"/>
      <c r="AQ1174" s="24"/>
      <c r="AR1174" s="24"/>
      <c r="AS1174" s="24"/>
      <c r="AT1174" s="24"/>
      <c r="AU1174" s="24"/>
      <c r="AV1174" s="24"/>
      <c r="AW1174" s="24"/>
      <c r="AX1174" s="24"/>
      <c r="AY1174" s="24"/>
    </row>
    <row r="1175" spans="1:51" x14ac:dyDescent="0.35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  <c r="AA1175" s="24"/>
      <c r="AB1175" s="24"/>
      <c r="AC1175" s="24"/>
      <c r="AD1175" s="24"/>
      <c r="AE1175" s="24"/>
      <c r="AF1175" s="24"/>
      <c r="AG1175" s="24"/>
      <c r="AH1175" s="24"/>
      <c r="AI1175" s="24"/>
      <c r="AJ1175" s="24"/>
      <c r="AK1175" s="24"/>
      <c r="AL1175" s="24"/>
      <c r="AM1175" s="24"/>
      <c r="AN1175" s="24"/>
      <c r="AO1175" s="24"/>
      <c r="AP1175" s="24"/>
      <c r="AQ1175" s="24"/>
      <c r="AR1175" s="24"/>
      <c r="AS1175" s="24"/>
      <c r="AT1175" s="24"/>
      <c r="AU1175" s="24"/>
      <c r="AV1175" s="24"/>
      <c r="AW1175" s="24"/>
      <c r="AX1175" s="24"/>
      <c r="AY1175" s="24"/>
    </row>
    <row r="1176" spans="1:51" x14ac:dyDescent="0.35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  <c r="AD1176" s="24"/>
      <c r="AE1176" s="24"/>
      <c r="AF1176" s="24"/>
      <c r="AG1176" s="24"/>
      <c r="AH1176" s="24"/>
      <c r="AI1176" s="24"/>
      <c r="AJ1176" s="24"/>
      <c r="AK1176" s="24"/>
      <c r="AL1176" s="24"/>
      <c r="AM1176" s="24"/>
      <c r="AN1176" s="24"/>
      <c r="AO1176" s="24"/>
      <c r="AP1176" s="24"/>
      <c r="AQ1176" s="24"/>
      <c r="AR1176" s="24"/>
      <c r="AS1176" s="24"/>
      <c r="AT1176" s="24"/>
      <c r="AU1176" s="24"/>
      <c r="AV1176" s="24"/>
      <c r="AW1176" s="24"/>
      <c r="AX1176" s="24"/>
      <c r="AY1176" s="24"/>
    </row>
    <row r="1177" spans="1:51" x14ac:dyDescent="0.35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  <c r="AA1177" s="24"/>
      <c r="AB1177" s="24"/>
      <c r="AC1177" s="24"/>
      <c r="AD1177" s="24"/>
      <c r="AE1177" s="24"/>
      <c r="AF1177" s="24"/>
      <c r="AG1177" s="24"/>
      <c r="AH1177" s="24"/>
      <c r="AI1177" s="24"/>
      <c r="AJ1177" s="24"/>
      <c r="AK1177" s="24"/>
      <c r="AL1177" s="24"/>
      <c r="AM1177" s="24"/>
      <c r="AN1177" s="24"/>
      <c r="AO1177" s="24"/>
      <c r="AP1177" s="24"/>
      <c r="AQ1177" s="24"/>
      <c r="AR1177" s="24"/>
      <c r="AS1177" s="24"/>
      <c r="AT1177" s="24"/>
      <c r="AU1177" s="24"/>
      <c r="AV1177" s="24"/>
      <c r="AW1177" s="24"/>
      <c r="AX1177" s="24"/>
      <c r="AY1177" s="24"/>
    </row>
    <row r="1178" spans="1:51" x14ac:dyDescent="0.35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  <c r="AA1178" s="24"/>
      <c r="AB1178" s="24"/>
      <c r="AC1178" s="24"/>
      <c r="AD1178" s="24"/>
      <c r="AE1178" s="24"/>
      <c r="AF1178" s="24"/>
      <c r="AG1178" s="24"/>
      <c r="AH1178" s="24"/>
      <c r="AI1178" s="24"/>
      <c r="AJ1178" s="24"/>
      <c r="AK1178" s="24"/>
      <c r="AL1178" s="24"/>
      <c r="AM1178" s="24"/>
      <c r="AN1178" s="24"/>
      <c r="AO1178" s="24"/>
      <c r="AP1178" s="24"/>
      <c r="AQ1178" s="24"/>
      <c r="AR1178" s="24"/>
      <c r="AS1178" s="24"/>
      <c r="AT1178" s="24"/>
      <c r="AU1178" s="24"/>
      <c r="AV1178" s="24"/>
      <c r="AW1178" s="24"/>
      <c r="AX1178" s="24"/>
      <c r="AY1178" s="24"/>
    </row>
    <row r="1179" spans="1:51" x14ac:dyDescent="0.35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  <c r="AA1179" s="24"/>
      <c r="AB1179" s="24"/>
      <c r="AC1179" s="24"/>
      <c r="AD1179" s="24"/>
      <c r="AE1179" s="24"/>
      <c r="AF1179" s="24"/>
      <c r="AG1179" s="24"/>
      <c r="AH1179" s="24"/>
      <c r="AI1179" s="24"/>
      <c r="AJ1179" s="24"/>
      <c r="AK1179" s="24"/>
      <c r="AL1179" s="24"/>
      <c r="AM1179" s="24"/>
      <c r="AN1179" s="24"/>
      <c r="AO1179" s="24"/>
      <c r="AP1179" s="24"/>
      <c r="AQ1179" s="24"/>
      <c r="AR1179" s="24"/>
      <c r="AS1179" s="24"/>
      <c r="AT1179" s="24"/>
      <c r="AU1179" s="24"/>
      <c r="AV1179" s="24"/>
      <c r="AW1179" s="24"/>
      <c r="AX1179" s="24"/>
      <c r="AY1179" s="24"/>
    </row>
    <row r="1180" spans="1:51" x14ac:dyDescent="0.35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  <c r="AA1180" s="24"/>
      <c r="AB1180" s="24"/>
      <c r="AC1180" s="24"/>
      <c r="AD1180" s="24"/>
      <c r="AE1180" s="24"/>
      <c r="AF1180" s="24"/>
      <c r="AG1180" s="24"/>
      <c r="AH1180" s="24"/>
      <c r="AI1180" s="24"/>
      <c r="AJ1180" s="24"/>
      <c r="AK1180" s="24"/>
      <c r="AL1180" s="24"/>
      <c r="AM1180" s="24"/>
      <c r="AN1180" s="24"/>
      <c r="AO1180" s="24"/>
      <c r="AP1180" s="24"/>
      <c r="AQ1180" s="24"/>
      <c r="AR1180" s="24"/>
      <c r="AS1180" s="24"/>
      <c r="AT1180" s="24"/>
      <c r="AU1180" s="24"/>
      <c r="AV1180" s="24"/>
      <c r="AW1180" s="24"/>
      <c r="AX1180" s="24"/>
      <c r="AY1180" s="24"/>
    </row>
    <row r="1181" spans="1:51" x14ac:dyDescent="0.35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  <c r="AA1181" s="24"/>
      <c r="AB1181" s="24"/>
      <c r="AC1181" s="24"/>
      <c r="AD1181" s="24"/>
      <c r="AE1181" s="24"/>
      <c r="AF1181" s="24"/>
      <c r="AG1181" s="24"/>
      <c r="AH1181" s="24"/>
      <c r="AI1181" s="24"/>
      <c r="AJ1181" s="24"/>
      <c r="AK1181" s="24"/>
      <c r="AL1181" s="24"/>
      <c r="AM1181" s="24"/>
      <c r="AN1181" s="24"/>
      <c r="AO1181" s="24"/>
      <c r="AP1181" s="24"/>
      <c r="AQ1181" s="24"/>
      <c r="AR1181" s="24"/>
      <c r="AS1181" s="24"/>
      <c r="AT1181" s="24"/>
      <c r="AU1181" s="24"/>
      <c r="AV1181" s="24"/>
      <c r="AW1181" s="24"/>
      <c r="AX1181" s="24"/>
      <c r="AY1181" s="24"/>
    </row>
    <row r="1182" spans="1:51" x14ac:dyDescent="0.35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  <c r="AD1182" s="24"/>
      <c r="AE1182" s="24"/>
      <c r="AF1182" s="24"/>
      <c r="AG1182" s="24"/>
      <c r="AH1182" s="24"/>
      <c r="AI1182" s="24"/>
      <c r="AJ1182" s="24"/>
      <c r="AK1182" s="24"/>
      <c r="AL1182" s="24"/>
      <c r="AM1182" s="24"/>
      <c r="AN1182" s="24"/>
      <c r="AO1182" s="24"/>
      <c r="AP1182" s="24"/>
      <c r="AQ1182" s="24"/>
      <c r="AR1182" s="24"/>
      <c r="AS1182" s="24"/>
      <c r="AT1182" s="24"/>
      <c r="AU1182" s="24"/>
      <c r="AV1182" s="24"/>
      <c r="AW1182" s="24"/>
      <c r="AX1182" s="24"/>
      <c r="AY1182" s="24"/>
    </row>
    <row r="1183" spans="1:51" x14ac:dyDescent="0.35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  <c r="AA1183" s="24"/>
      <c r="AB1183" s="24"/>
      <c r="AC1183" s="24"/>
      <c r="AD1183" s="24"/>
      <c r="AE1183" s="24"/>
      <c r="AF1183" s="24"/>
      <c r="AG1183" s="24"/>
      <c r="AH1183" s="24"/>
      <c r="AI1183" s="24"/>
      <c r="AJ1183" s="24"/>
      <c r="AK1183" s="24"/>
      <c r="AL1183" s="24"/>
      <c r="AM1183" s="24"/>
      <c r="AN1183" s="24"/>
      <c r="AO1183" s="24"/>
      <c r="AP1183" s="24"/>
      <c r="AQ1183" s="24"/>
      <c r="AR1183" s="24"/>
      <c r="AS1183" s="24"/>
      <c r="AT1183" s="24"/>
      <c r="AU1183" s="24"/>
      <c r="AV1183" s="24"/>
      <c r="AW1183" s="24"/>
      <c r="AX1183" s="24"/>
      <c r="AY1183" s="24"/>
    </row>
    <row r="1184" spans="1:51" x14ac:dyDescent="0.35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  <c r="AA1184" s="24"/>
      <c r="AB1184" s="24"/>
      <c r="AC1184" s="24"/>
      <c r="AD1184" s="24"/>
      <c r="AE1184" s="24"/>
      <c r="AF1184" s="24"/>
      <c r="AG1184" s="24"/>
      <c r="AH1184" s="24"/>
      <c r="AI1184" s="24"/>
      <c r="AJ1184" s="24"/>
      <c r="AK1184" s="24"/>
      <c r="AL1184" s="24"/>
      <c r="AM1184" s="24"/>
      <c r="AN1184" s="24"/>
      <c r="AO1184" s="24"/>
      <c r="AP1184" s="24"/>
      <c r="AQ1184" s="24"/>
      <c r="AR1184" s="24"/>
      <c r="AS1184" s="24"/>
      <c r="AT1184" s="24"/>
      <c r="AU1184" s="24"/>
      <c r="AV1184" s="24"/>
      <c r="AW1184" s="24"/>
      <c r="AX1184" s="24"/>
      <c r="AY1184" s="24"/>
    </row>
    <row r="1185" spans="1:51" x14ac:dyDescent="0.35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  <c r="AA1185" s="24"/>
      <c r="AB1185" s="24"/>
      <c r="AC1185" s="24"/>
      <c r="AD1185" s="24"/>
      <c r="AE1185" s="24"/>
      <c r="AF1185" s="24"/>
      <c r="AG1185" s="24"/>
      <c r="AH1185" s="24"/>
      <c r="AI1185" s="24"/>
      <c r="AJ1185" s="24"/>
      <c r="AK1185" s="24"/>
      <c r="AL1185" s="24"/>
      <c r="AM1185" s="24"/>
      <c r="AN1185" s="24"/>
      <c r="AO1185" s="24"/>
      <c r="AP1185" s="24"/>
      <c r="AQ1185" s="24"/>
      <c r="AR1185" s="24"/>
      <c r="AS1185" s="24"/>
      <c r="AT1185" s="24"/>
      <c r="AU1185" s="24"/>
      <c r="AV1185" s="24"/>
      <c r="AW1185" s="24"/>
      <c r="AX1185" s="24"/>
      <c r="AY1185" s="24"/>
    </row>
    <row r="1186" spans="1:51" x14ac:dyDescent="0.35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  <c r="AA1186" s="24"/>
      <c r="AB1186" s="24"/>
      <c r="AC1186" s="24"/>
      <c r="AD1186" s="24"/>
      <c r="AE1186" s="24"/>
      <c r="AF1186" s="24"/>
      <c r="AG1186" s="24"/>
      <c r="AH1186" s="24"/>
      <c r="AI1186" s="24"/>
      <c r="AJ1186" s="24"/>
      <c r="AK1186" s="24"/>
      <c r="AL1186" s="24"/>
      <c r="AM1186" s="24"/>
      <c r="AN1186" s="24"/>
      <c r="AO1186" s="24"/>
      <c r="AP1186" s="24"/>
      <c r="AQ1186" s="24"/>
      <c r="AR1186" s="24"/>
      <c r="AS1186" s="24"/>
      <c r="AT1186" s="24"/>
      <c r="AU1186" s="24"/>
      <c r="AV1186" s="24"/>
      <c r="AW1186" s="24"/>
      <c r="AX1186" s="24"/>
      <c r="AY1186" s="24"/>
    </row>
    <row r="1187" spans="1:51" x14ac:dyDescent="0.35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  <c r="AA1187" s="24"/>
      <c r="AB1187" s="24"/>
      <c r="AC1187" s="24"/>
      <c r="AD1187" s="24"/>
      <c r="AE1187" s="24"/>
      <c r="AF1187" s="24"/>
      <c r="AG1187" s="24"/>
      <c r="AH1187" s="24"/>
      <c r="AI1187" s="24"/>
      <c r="AJ1187" s="24"/>
      <c r="AK1187" s="24"/>
      <c r="AL1187" s="24"/>
      <c r="AM1187" s="24"/>
      <c r="AN1187" s="24"/>
      <c r="AO1187" s="24"/>
      <c r="AP1187" s="24"/>
      <c r="AQ1187" s="24"/>
      <c r="AR1187" s="24"/>
      <c r="AS1187" s="24"/>
      <c r="AT1187" s="24"/>
      <c r="AU1187" s="24"/>
      <c r="AV1187" s="24"/>
      <c r="AW1187" s="24"/>
      <c r="AX1187" s="24"/>
      <c r="AY1187" s="24"/>
    </row>
    <row r="1188" spans="1:51" x14ac:dyDescent="0.35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  <c r="AA1188" s="24"/>
      <c r="AB1188" s="24"/>
      <c r="AC1188" s="24"/>
      <c r="AD1188" s="24"/>
      <c r="AE1188" s="24"/>
      <c r="AF1188" s="24"/>
      <c r="AG1188" s="24"/>
      <c r="AH1188" s="24"/>
      <c r="AI1188" s="24"/>
      <c r="AJ1188" s="24"/>
      <c r="AK1188" s="24"/>
      <c r="AL1188" s="24"/>
      <c r="AM1188" s="24"/>
      <c r="AN1188" s="24"/>
      <c r="AO1188" s="24"/>
      <c r="AP1188" s="24"/>
      <c r="AQ1188" s="24"/>
      <c r="AR1188" s="24"/>
      <c r="AS1188" s="24"/>
      <c r="AT1188" s="24"/>
      <c r="AU1188" s="24"/>
      <c r="AV1188" s="24"/>
      <c r="AW1188" s="24"/>
      <c r="AX1188" s="24"/>
      <c r="AY1188" s="24"/>
    </row>
    <row r="1189" spans="1:51" x14ac:dyDescent="0.35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  <c r="AC1189" s="24"/>
      <c r="AD1189" s="24"/>
      <c r="AE1189" s="24"/>
      <c r="AF1189" s="24"/>
      <c r="AG1189" s="24"/>
      <c r="AH1189" s="24"/>
      <c r="AI1189" s="24"/>
      <c r="AJ1189" s="24"/>
      <c r="AK1189" s="24"/>
      <c r="AL1189" s="24"/>
      <c r="AM1189" s="24"/>
      <c r="AN1189" s="24"/>
      <c r="AO1189" s="24"/>
      <c r="AP1189" s="24"/>
      <c r="AQ1189" s="24"/>
      <c r="AR1189" s="24"/>
      <c r="AS1189" s="24"/>
      <c r="AT1189" s="24"/>
      <c r="AU1189" s="24"/>
      <c r="AV1189" s="24"/>
      <c r="AW1189" s="24"/>
      <c r="AX1189" s="24"/>
      <c r="AY1189" s="24"/>
    </row>
    <row r="1190" spans="1:51" x14ac:dyDescent="0.35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  <c r="AA1190" s="24"/>
      <c r="AB1190" s="24"/>
      <c r="AC1190" s="24"/>
      <c r="AD1190" s="24"/>
      <c r="AE1190" s="24"/>
      <c r="AF1190" s="24"/>
      <c r="AG1190" s="24"/>
      <c r="AH1190" s="24"/>
      <c r="AI1190" s="24"/>
      <c r="AJ1190" s="24"/>
      <c r="AK1190" s="24"/>
      <c r="AL1190" s="24"/>
      <c r="AM1190" s="24"/>
      <c r="AN1190" s="24"/>
      <c r="AO1190" s="24"/>
      <c r="AP1190" s="24"/>
      <c r="AQ1190" s="24"/>
      <c r="AR1190" s="24"/>
      <c r="AS1190" s="24"/>
      <c r="AT1190" s="24"/>
      <c r="AU1190" s="24"/>
      <c r="AV1190" s="24"/>
      <c r="AW1190" s="24"/>
      <c r="AX1190" s="24"/>
      <c r="AY1190" s="24"/>
    </row>
    <row r="1191" spans="1:51" x14ac:dyDescent="0.35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  <c r="AA1191" s="24"/>
      <c r="AB1191" s="24"/>
      <c r="AC1191" s="24"/>
      <c r="AD1191" s="24"/>
      <c r="AE1191" s="24"/>
      <c r="AF1191" s="24"/>
      <c r="AG1191" s="24"/>
      <c r="AH1191" s="24"/>
      <c r="AI1191" s="24"/>
      <c r="AJ1191" s="24"/>
      <c r="AK1191" s="24"/>
      <c r="AL1191" s="24"/>
      <c r="AM1191" s="24"/>
      <c r="AN1191" s="24"/>
      <c r="AO1191" s="24"/>
      <c r="AP1191" s="24"/>
      <c r="AQ1191" s="24"/>
      <c r="AR1191" s="24"/>
      <c r="AS1191" s="24"/>
      <c r="AT1191" s="24"/>
      <c r="AU1191" s="24"/>
      <c r="AV1191" s="24"/>
      <c r="AW1191" s="24"/>
      <c r="AX1191" s="24"/>
      <c r="AY1191" s="24"/>
    </row>
    <row r="1192" spans="1:51" x14ac:dyDescent="0.35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  <c r="AA1192" s="24"/>
      <c r="AB1192" s="24"/>
      <c r="AC1192" s="24"/>
      <c r="AD1192" s="24"/>
      <c r="AE1192" s="24"/>
      <c r="AF1192" s="24"/>
      <c r="AG1192" s="24"/>
      <c r="AH1192" s="24"/>
      <c r="AI1192" s="24"/>
      <c r="AJ1192" s="24"/>
      <c r="AK1192" s="24"/>
      <c r="AL1192" s="24"/>
      <c r="AM1192" s="24"/>
      <c r="AN1192" s="24"/>
      <c r="AO1192" s="24"/>
      <c r="AP1192" s="24"/>
      <c r="AQ1192" s="24"/>
      <c r="AR1192" s="24"/>
      <c r="AS1192" s="24"/>
      <c r="AT1192" s="24"/>
      <c r="AU1192" s="24"/>
      <c r="AV1192" s="24"/>
      <c r="AW1192" s="24"/>
      <c r="AX1192" s="24"/>
      <c r="AY1192" s="24"/>
    </row>
    <row r="1193" spans="1:51" x14ac:dyDescent="0.35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  <c r="AA1193" s="24"/>
      <c r="AB1193" s="24"/>
      <c r="AC1193" s="24"/>
      <c r="AD1193" s="24"/>
      <c r="AE1193" s="24"/>
      <c r="AF1193" s="24"/>
      <c r="AG1193" s="24"/>
      <c r="AH1193" s="24"/>
      <c r="AI1193" s="24"/>
      <c r="AJ1193" s="24"/>
      <c r="AK1193" s="24"/>
      <c r="AL1193" s="24"/>
      <c r="AM1193" s="24"/>
      <c r="AN1193" s="24"/>
      <c r="AO1193" s="24"/>
      <c r="AP1193" s="24"/>
      <c r="AQ1193" s="24"/>
      <c r="AR1193" s="24"/>
      <c r="AS1193" s="24"/>
      <c r="AT1193" s="24"/>
      <c r="AU1193" s="24"/>
      <c r="AV1193" s="24"/>
      <c r="AW1193" s="24"/>
      <c r="AX1193" s="24"/>
      <c r="AY1193" s="24"/>
    </row>
    <row r="1194" spans="1:51" x14ac:dyDescent="0.35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  <c r="AA1194" s="24"/>
      <c r="AB1194" s="24"/>
      <c r="AC1194" s="24"/>
      <c r="AD1194" s="24"/>
      <c r="AE1194" s="24"/>
      <c r="AF1194" s="24"/>
      <c r="AG1194" s="24"/>
      <c r="AH1194" s="24"/>
      <c r="AI1194" s="24"/>
      <c r="AJ1194" s="24"/>
      <c r="AK1194" s="24"/>
      <c r="AL1194" s="24"/>
      <c r="AM1194" s="24"/>
      <c r="AN1194" s="24"/>
      <c r="AO1194" s="24"/>
      <c r="AP1194" s="24"/>
      <c r="AQ1194" s="24"/>
      <c r="AR1194" s="24"/>
      <c r="AS1194" s="24"/>
      <c r="AT1194" s="24"/>
      <c r="AU1194" s="24"/>
      <c r="AV1194" s="24"/>
      <c r="AW1194" s="24"/>
      <c r="AX1194" s="24"/>
      <c r="AY1194" s="24"/>
    </row>
    <row r="1195" spans="1:51" x14ac:dyDescent="0.35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  <c r="AC1195" s="24"/>
      <c r="AD1195" s="24"/>
      <c r="AE1195" s="24"/>
      <c r="AF1195" s="24"/>
      <c r="AG1195" s="24"/>
      <c r="AH1195" s="24"/>
      <c r="AI1195" s="24"/>
      <c r="AJ1195" s="24"/>
      <c r="AK1195" s="24"/>
      <c r="AL1195" s="24"/>
      <c r="AM1195" s="24"/>
      <c r="AN1195" s="24"/>
      <c r="AO1195" s="24"/>
      <c r="AP1195" s="24"/>
      <c r="AQ1195" s="24"/>
      <c r="AR1195" s="24"/>
      <c r="AS1195" s="24"/>
      <c r="AT1195" s="24"/>
      <c r="AU1195" s="24"/>
      <c r="AV1195" s="24"/>
      <c r="AW1195" s="24"/>
      <c r="AX1195" s="24"/>
      <c r="AY1195" s="24"/>
    </row>
    <row r="1196" spans="1:51" x14ac:dyDescent="0.35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  <c r="AA1196" s="24"/>
      <c r="AB1196" s="24"/>
      <c r="AC1196" s="24"/>
      <c r="AD1196" s="24"/>
      <c r="AE1196" s="24"/>
      <c r="AF1196" s="24"/>
      <c r="AG1196" s="24"/>
      <c r="AH1196" s="24"/>
      <c r="AI1196" s="24"/>
      <c r="AJ1196" s="24"/>
      <c r="AK1196" s="24"/>
      <c r="AL1196" s="24"/>
      <c r="AM1196" s="24"/>
      <c r="AN1196" s="24"/>
      <c r="AO1196" s="24"/>
      <c r="AP1196" s="24"/>
      <c r="AQ1196" s="24"/>
      <c r="AR1196" s="24"/>
      <c r="AS1196" s="24"/>
      <c r="AT1196" s="24"/>
      <c r="AU1196" s="24"/>
      <c r="AV1196" s="24"/>
      <c r="AW1196" s="24"/>
      <c r="AX1196" s="24"/>
      <c r="AY1196" s="24"/>
    </row>
    <row r="1197" spans="1:51" x14ac:dyDescent="0.35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  <c r="AA1197" s="24"/>
      <c r="AB1197" s="24"/>
      <c r="AC1197" s="24"/>
      <c r="AD1197" s="24"/>
      <c r="AE1197" s="24"/>
      <c r="AF1197" s="24"/>
      <c r="AG1197" s="24"/>
      <c r="AH1197" s="24"/>
      <c r="AI1197" s="24"/>
      <c r="AJ1197" s="24"/>
      <c r="AK1197" s="24"/>
      <c r="AL1197" s="24"/>
      <c r="AM1197" s="24"/>
      <c r="AN1197" s="24"/>
      <c r="AO1197" s="24"/>
      <c r="AP1197" s="24"/>
      <c r="AQ1197" s="24"/>
      <c r="AR1197" s="24"/>
      <c r="AS1197" s="24"/>
      <c r="AT1197" s="24"/>
      <c r="AU1197" s="24"/>
      <c r="AV1197" s="24"/>
      <c r="AW1197" s="24"/>
      <c r="AX1197" s="24"/>
      <c r="AY1197" s="24"/>
    </row>
    <row r="1198" spans="1:51" x14ac:dyDescent="0.35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  <c r="AA1198" s="24"/>
      <c r="AB1198" s="24"/>
      <c r="AC1198" s="24"/>
      <c r="AD1198" s="24"/>
      <c r="AE1198" s="24"/>
      <c r="AF1198" s="24"/>
      <c r="AG1198" s="24"/>
      <c r="AH1198" s="24"/>
      <c r="AI1198" s="24"/>
      <c r="AJ1198" s="24"/>
      <c r="AK1198" s="24"/>
      <c r="AL1198" s="24"/>
      <c r="AM1198" s="24"/>
      <c r="AN1198" s="24"/>
      <c r="AO1198" s="24"/>
      <c r="AP1198" s="24"/>
      <c r="AQ1198" s="24"/>
      <c r="AR1198" s="24"/>
      <c r="AS1198" s="24"/>
      <c r="AT1198" s="24"/>
      <c r="AU1198" s="24"/>
      <c r="AV1198" s="24"/>
      <c r="AW1198" s="24"/>
      <c r="AX1198" s="24"/>
      <c r="AY1198" s="24"/>
    </row>
    <row r="1199" spans="1:51" x14ac:dyDescent="0.35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  <c r="AA1199" s="24"/>
      <c r="AB1199" s="24"/>
      <c r="AC1199" s="24"/>
      <c r="AD1199" s="24"/>
      <c r="AE1199" s="24"/>
      <c r="AF1199" s="24"/>
      <c r="AG1199" s="24"/>
      <c r="AH1199" s="24"/>
      <c r="AI1199" s="24"/>
      <c r="AJ1199" s="24"/>
      <c r="AK1199" s="24"/>
      <c r="AL1199" s="24"/>
      <c r="AM1199" s="24"/>
      <c r="AN1199" s="24"/>
      <c r="AO1199" s="24"/>
      <c r="AP1199" s="24"/>
      <c r="AQ1199" s="24"/>
      <c r="AR1199" s="24"/>
      <c r="AS1199" s="24"/>
      <c r="AT1199" s="24"/>
      <c r="AU1199" s="24"/>
      <c r="AV1199" s="24"/>
      <c r="AW1199" s="24"/>
      <c r="AX1199" s="24"/>
      <c r="AY1199" s="24"/>
    </row>
    <row r="1200" spans="1:51" x14ac:dyDescent="0.35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/>
      <c r="AB1200" s="24"/>
      <c r="AC1200" s="24"/>
      <c r="AD1200" s="24"/>
      <c r="AE1200" s="24"/>
      <c r="AF1200" s="24"/>
      <c r="AG1200" s="24"/>
      <c r="AH1200" s="24"/>
      <c r="AI1200" s="24"/>
      <c r="AJ1200" s="24"/>
      <c r="AK1200" s="24"/>
      <c r="AL1200" s="24"/>
      <c r="AM1200" s="24"/>
      <c r="AN1200" s="24"/>
      <c r="AO1200" s="24"/>
      <c r="AP1200" s="24"/>
      <c r="AQ1200" s="24"/>
      <c r="AR1200" s="24"/>
      <c r="AS1200" s="24"/>
      <c r="AT1200" s="24"/>
      <c r="AU1200" s="24"/>
      <c r="AV1200" s="24"/>
      <c r="AW1200" s="24"/>
      <c r="AX1200" s="24"/>
      <c r="AY1200" s="24"/>
    </row>
    <row r="1201" spans="1:51" x14ac:dyDescent="0.35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  <c r="AA1201" s="24"/>
      <c r="AB1201" s="24"/>
      <c r="AC1201" s="24"/>
      <c r="AD1201" s="24"/>
      <c r="AE1201" s="24"/>
      <c r="AF1201" s="24"/>
      <c r="AG1201" s="24"/>
      <c r="AH1201" s="24"/>
      <c r="AI1201" s="24"/>
      <c r="AJ1201" s="24"/>
      <c r="AK1201" s="24"/>
      <c r="AL1201" s="24"/>
      <c r="AM1201" s="24"/>
      <c r="AN1201" s="24"/>
      <c r="AO1201" s="24"/>
      <c r="AP1201" s="24"/>
      <c r="AQ1201" s="24"/>
      <c r="AR1201" s="24"/>
      <c r="AS1201" s="24"/>
      <c r="AT1201" s="24"/>
      <c r="AU1201" s="24"/>
      <c r="AV1201" s="24"/>
      <c r="AW1201" s="24"/>
      <c r="AX1201" s="24"/>
      <c r="AY1201" s="24"/>
    </row>
    <row r="1202" spans="1:51" x14ac:dyDescent="0.35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  <c r="AA1202" s="24"/>
      <c r="AB1202" s="24"/>
      <c r="AC1202" s="24"/>
      <c r="AD1202" s="24"/>
      <c r="AE1202" s="24"/>
      <c r="AF1202" s="24"/>
      <c r="AG1202" s="24"/>
      <c r="AH1202" s="24"/>
      <c r="AI1202" s="24"/>
      <c r="AJ1202" s="24"/>
      <c r="AK1202" s="24"/>
      <c r="AL1202" s="24"/>
      <c r="AM1202" s="24"/>
      <c r="AN1202" s="24"/>
      <c r="AO1202" s="24"/>
      <c r="AP1202" s="24"/>
      <c r="AQ1202" s="24"/>
      <c r="AR1202" s="24"/>
      <c r="AS1202" s="24"/>
      <c r="AT1202" s="24"/>
      <c r="AU1202" s="24"/>
      <c r="AV1202" s="24"/>
      <c r="AW1202" s="24"/>
      <c r="AX1202" s="24"/>
      <c r="AY1202" s="24"/>
    </row>
    <row r="1203" spans="1:51" x14ac:dyDescent="0.35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  <c r="AA1203" s="24"/>
      <c r="AB1203" s="24"/>
      <c r="AC1203" s="24"/>
      <c r="AD1203" s="24"/>
      <c r="AE1203" s="24"/>
      <c r="AF1203" s="24"/>
      <c r="AG1203" s="24"/>
      <c r="AH1203" s="24"/>
      <c r="AI1203" s="24"/>
      <c r="AJ1203" s="24"/>
      <c r="AK1203" s="24"/>
      <c r="AL1203" s="24"/>
      <c r="AM1203" s="24"/>
      <c r="AN1203" s="24"/>
      <c r="AO1203" s="24"/>
      <c r="AP1203" s="24"/>
      <c r="AQ1203" s="24"/>
      <c r="AR1203" s="24"/>
      <c r="AS1203" s="24"/>
      <c r="AT1203" s="24"/>
      <c r="AU1203" s="24"/>
      <c r="AV1203" s="24"/>
      <c r="AW1203" s="24"/>
      <c r="AX1203" s="24"/>
      <c r="AY1203" s="24"/>
    </row>
    <row r="1204" spans="1:51" x14ac:dyDescent="0.35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  <c r="AA1204" s="24"/>
      <c r="AB1204" s="24"/>
      <c r="AC1204" s="24"/>
      <c r="AD1204" s="24"/>
      <c r="AE1204" s="24"/>
      <c r="AF1204" s="24"/>
      <c r="AG1204" s="24"/>
      <c r="AH1204" s="24"/>
      <c r="AI1204" s="24"/>
      <c r="AJ1204" s="24"/>
      <c r="AK1204" s="24"/>
      <c r="AL1204" s="24"/>
      <c r="AM1204" s="24"/>
      <c r="AN1204" s="24"/>
      <c r="AO1204" s="24"/>
      <c r="AP1204" s="24"/>
      <c r="AQ1204" s="24"/>
      <c r="AR1204" s="24"/>
      <c r="AS1204" s="24"/>
      <c r="AT1204" s="24"/>
      <c r="AU1204" s="24"/>
      <c r="AV1204" s="24"/>
      <c r="AW1204" s="24"/>
      <c r="AX1204" s="24"/>
      <c r="AY1204" s="24"/>
    </row>
    <row r="1205" spans="1:51" x14ac:dyDescent="0.35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  <c r="AA1205" s="24"/>
      <c r="AB1205" s="24"/>
      <c r="AC1205" s="24"/>
      <c r="AD1205" s="24"/>
      <c r="AE1205" s="24"/>
      <c r="AF1205" s="24"/>
      <c r="AG1205" s="24"/>
      <c r="AH1205" s="24"/>
      <c r="AI1205" s="24"/>
      <c r="AJ1205" s="24"/>
      <c r="AK1205" s="24"/>
      <c r="AL1205" s="24"/>
      <c r="AM1205" s="24"/>
      <c r="AN1205" s="24"/>
      <c r="AO1205" s="24"/>
      <c r="AP1205" s="24"/>
      <c r="AQ1205" s="24"/>
      <c r="AR1205" s="24"/>
      <c r="AS1205" s="24"/>
      <c r="AT1205" s="24"/>
      <c r="AU1205" s="24"/>
      <c r="AV1205" s="24"/>
      <c r="AW1205" s="24"/>
      <c r="AX1205" s="24"/>
      <c r="AY1205" s="24"/>
    </row>
    <row r="1206" spans="1:51" x14ac:dyDescent="0.35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  <c r="AA1206" s="24"/>
      <c r="AB1206" s="24"/>
      <c r="AC1206" s="24"/>
      <c r="AD1206" s="24"/>
      <c r="AE1206" s="24"/>
      <c r="AF1206" s="24"/>
      <c r="AG1206" s="24"/>
      <c r="AH1206" s="24"/>
      <c r="AI1206" s="24"/>
      <c r="AJ1206" s="24"/>
      <c r="AK1206" s="24"/>
      <c r="AL1206" s="24"/>
      <c r="AM1206" s="24"/>
      <c r="AN1206" s="24"/>
      <c r="AO1206" s="24"/>
      <c r="AP1206" s="24"/>
      <c r="AQ1206" s="24"/>
      <c r="AR1206" s="24"/>
      <c r="AS1206" s="24"/>
      <c r="AT1206" s="24"/>
      <c r="AU1206" s="24"/>
      <c r="AV1206" s="24"/>
      <c r="AW1206" s="24"/>
      <c r="AX1206" s="24"/>
      <c r="AY1206" s="24"/>
    </row>
    <row r="1207" spans="1:51" x14ac:dyDescent="0.35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/>
      <c r="AB1207" s="24"/>
      <c r="AC1207" s="24"/>
      <c r="AD1207" s="24"/>
      <c r="AE1207" s="24"/>
      <c r="AF1207" s="24"/>
      <c r="AG1207" s="24"/>
      <c r="AH1207" s="24"/>
      <c r="AI1207" s="24"/>
      <c r="AJ1207" s="24"/>
      <c r="AK1207" s="24"/>
      <c r="AL1207" s="24"/>
      <c r="AM1207" s="24"/>
      <c r="AN1207" s="24"/>
      <c r="AO1207" s="24"/>
      <c r="AP1207" s="24"/>
      <c r="AQ1207" s="24"/>
      <c r="AR1207" s="24"/>
      <c r="AS1207" s="24"/>
      <c r="AT1207" s="24"/>
      <c r="AU1207" s="24"/>
      <c r="AV1207" s="24"/>
      <c r="AW1207" s="24"/>
      <c r="AX1207" s="24"/>
      <c r="AY1207" s="24"/>
    </row>
    <row r="1208" spans="1:51" x14ac:dyDescent="0.35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  <c r="AA1208" s="24"/>
      <c r="AB1208" s="24"/>
      <c r="AC1208" s="24"/>
      <c r="AD1208" s="24"/>
      <c r="AE1208" s="24"/>
      <c r="AF1208" s="24"/>
      <c r="AG1208" s="24"/>
      <c r="AH1208" s="24"/>
      <c r="AI1208" s="24"/>
      <c r="AJ1208" s="24"/>
      <c r="AK1208" s="24"/>
      <c r="AL1208" s="24"/>
      <c r="AM1208" s="24"/>
      <c r="AN1208" s="24"/>
      <c r="AO1208" s="24"/>
      <c r="AP1208" s="24"/>
      <c r="AQ1208" s="24"/>
      <c r="AR1208" s="24"/>
      <c r="AS1208" s="24"/>
      <c r="AT1208" s="24"/>
      <c r="AU1208" s="24"/>
      <c r="AV1208" s="24"/>
      <c r="AW1208" s="24"/>
      <c r="AX1208" s="24"/>
      <c r="AY1208" s="24"/>
    </row>
    <row r="1209" spans="1:51" x14ac:dyDescent="0.35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  <c r="AA1209" s="24"/>
      <c r="AB1209" s="24"/>
      <c r="AC1209" s="24"/>
      <c r="AD1209" s="24"/>
      <c r="AE1209" s="24"/>
      <c r="AF1209" s="24"/>
      <c r="AG1209" s="24"/>
      <c r="AH1209" s="24"/>
      <c r="AI1209" s="24"/>
      <c r="AJ1209" s="24"/>
      <c r="AK1209" s="24"/>
      <c r="AL1209" s="24"/>
      <c r="AM1209" s="24"/>
      <c r="AN1209" s="24"/>
      <c r="AO1209" s="24"/>
      <c r="AP1209" s="24"/>
      <c r="AQ1209" s="24"/>
      <c r="AR1209" s="24"/>
      <c r="AS1209" s="24"/>
      <c r="AT1209" s="24"/>
      <c r="AU1209" s="24"/>
      <c r="AV1209" s="24"/>
      <c r="AW1209" s="24"/>
      <c r="AX1209" s="24"/>
      <c r="AY1209" s="24"/>
    </row>
    <row r="1210" spans="1:51" x14ac:dyDescent="0.35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  <c r="AA1210" s="24"/>
      <c r="AB1210" s="24"/>
      <c r="AC1210" s="24"/>
      <c r="AD1210" s="24"/>
      <c r="AE1210" s="24"/>
      <c r="AF1210" s="24"/>
      <c r="AG1210" s="24"/>
      <c r="AH1210" s="24"/>
      <c r="AI1210" s="24"/>
      <c r="AJ1210" s="24"/>
      <c r="AK1210" s="24"/>
      <c r="AL1210" s="24"/>
      <c r="AM1210" s="24"/>
      <c r="AN1210" s="24"/>
      <c r="AO1210" s="24"/>
      <c r="AP1210" s="24"/>
      <c r="AQ1210" s="24"/>
      <c r="AR1210" s="24"/>
      <c r="AS1210" s="24"/>
      <c r="AT1210" s="24"/>
      <c r="AU1210" s="24"/>
      <c r="AV1210" s="24"/>
      <c r="AW1210" s="24"/>
      <c r="AX1210" s="24"/>
      <c r="AY1210" s="24"/>
    </row>
    <row r="1211" spans="1:51" x14ac:dyDescent="0.35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  <c r="AA1211" s="24"/>
      <c r="AB1211" s="24"/>
      <c r="AC1211" s="24"/>
      <c r="AD1211" s="24"/>
      <c r="AE1211" s="24"/>
      <c r="AF1211" s="24"/>
      <c r="AG1211" s="24"/>
      <c r="AH1211" s="24"/>
      <c r="AI1211" s="24"/>
      <c r="AJ1211" s="24"/>
      <c r="AK1211" s="24"/>
      <c r="AL1211" s="24"/>
      <c r="AM1211" s="24"/>
      <c r="AN1211" s="24"/>
      <c r="AO1211" s="24"/>
      <c r="AP1211" s="24"/>
      <c r="AQ1211" s="24"/>
      <c r="AR1211" s="24"/>
      <c r="AS1211" s="24"/>
      <c r="AT1211" s="24"/>
      <c r="AU1211" s="24"/>
      <c r="AV1211" s="24"/>
      <c r="AW1211" s="24"/>
      <c r="AX1211" s="24"/>
      <c r="AY1211" s="24"/>
    </row>
    <row r="1212" spans="1:51" x14ac:dyDescent="0.35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  <c r="AA1212" s="24"/>
      <c r="AB1212" s="24"/>
      <c r="AC1212" s="24"/>
      <c r="AD1212" s="24"/>
      <c r="AE1212" s="24"/>
      <c r="AF1212" s="24"/>
      <c r="AG1212" s="24"/>
      <c r="AH1212" s="24"/>
      <c r="AI1212" s="24"/>
      <c r="AJ1212" s="24"/>
      <c r="AK1212" s="24"/>
      <c r="AL1212" s="24"/>
      <c r="AM1212" s="24"/>
      <c r="AN1212" s="24"/>
      <c r="AO1212" s="24"/>
      <c r="AP1212" s="24"/>
      <c r="AQ1212" s="24"/>
      <c r="AR1212" s="24"/>
      <c r="AS1212" s="24"/>
      <c r="AT1212" s="24"/>
      <c r="AU1212" s="24"/>
      <c r="AV1212" s="24"/>
      <c r="AW1212" s="24"/>
      <c r="AX1212" s="24"/>
      <c r="AY1212" s="24"/>
    </row>
    <row r="1213" spans="1:51" x14ac:dyDescent="0.35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  <c r="AA1213" s="24"/>
      <c r="AB1213" s="24"/>
      <c r="AC1213" s="24"/>
      <c r="AD1213" s="24"/>
      <c r="AE1213" s="24"/>
      <c r="AF1213" s="24"/>
      <c r="AG1213" s="24"/>
      <c r="AH1213" s="24"/>
      <c r="AI1213" s="24"/>
      <c r="AJ1213" s="24"/>
      <c r="AK1213" s="24"/>
      <c r="AL1213" s="24"/>
      <c r="AM1213" s="24"/>
      <c r="AN1213" s="24"/>
      <c r="AO1213" s="24"/>
      <c r="AP1213" s="24"/>
      <c r="AQ1213" s="24"/>
      <c r="AR1213" s="24"/>
      <c r="AS1213" s="24"/>
      <c r="AT1213" s="24"/>
      <c r="AU1213" s="24"/>
      <c r="AV1213" s="24"/>
      <c r="AW1213" s="24"/>
      <c r="AX1213" s="24"/>
      <c r="AY1213" s="24"/>
    </row>
    <row r="1214" spans="1:51" x14ac:dyDescent="0.35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  <c r="AA1214" s="24"/>
      <c r="AB1214" s="24"/>
      <c r="AC1214" s="24"/>
      <c r="AD1214" s="24"/>
      <c r="AE1214" s="24"/>
      <c r="AF1214" s="24"/>
      <c r="AG1214" s="24"/>
      <c r="AH1214" s="24"/>
      <c r="AI1214" s="24"/>
      <c r="AJ1214" s="24"/>
      <c r="AK1214" s="24"/>
      <c r="AL1214" s="24"/>
      <c r="AM1214" s="24"/>
      <c r="AN1214" s="24"/>
      <c r="AO1214" s="24"/>
      <c r="AP1214" s="24"/>
      <c r="AQ1214" s="24"/>
      <c r="AR1214" s="24"/>
      <c r="AS1214" s="24"/>
      <c r="AT1214" s="24"/>
      <c r="AU1214" s="24"/>
      <c r="AV1214" s="24"/>
      <c r="AW1214" s="24"/>
      <c r="AX1214" s="24"/>
      <c r="AY1214" s="24"/>
    </row>
    <row r="1215" spans="1:51" x14ac:dyDescent="0.35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  <c r="AA1215" s="24"/>
      <c r="AB1215" s="24"/>
      <c r="AC1215" s="24"/>
      <c r="AD1215" s="24"/>
      <c r="AE1215" s="24"/>
      <c r="AF1215" s="24"/>
      <c r="AG1215" s="24"/>
      <c r="AH1215" s="24"/>
      <c r="AI1215" s="24"/>
      <c r="AJ1215" s="24"/>
      <c r="AK1215" s="24"/>
      <c r="AL1215" s="24"/>
      <c r="AM1215" s="24"/>
      <c r="AN1215" s="24"/>
      <c r="AO1215" s="24"/>
      <c r="AP1215" s="24"/>
      <c r="AQ1215" s="24"/>
      <c r="AR1215" s="24"/>
      <c r="AS1215" s="24"/>
      <c r="AT1215" s="24"/>
      <c r="AU1215" s="24"/>
      <c r="AV1215" s="24"/>
      <c r="AW1215" s="24"/>
      <c r="AX1215" s="24"/>
      <c r="AY1215" s="24"/>
    </row>
    <row r="1216" spans="1:51" x14ac:dyDescent="0.35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  <c r="AA1216" s="24"/>
      <c r="AB1216" s="24"/>
      <c r="AC1216" s="24"/>
      <c r="AD1216" s="24"/>
      <c r="AE1216" s="24"/>
      <c r="AF1216" s="24"/>
      <c r="AG1216" s="24"/>
      <c r="AH1216" s="24"/>
      <c r="AI1216" s="24"/>
      <c r="AJ1216" s="24"/>
      <c r="AK1216" s="24"/>
      <c r="AL1216" s="24"/>
      <c r="AM1216" s="24"/>
      <c r="AN1216" s="24"/>
      <c r="AO1216" s="24"/>
      <c r="AP1216" s="24"/>
      <c r="AQ1216" s="24"/>
      <c r="AR1216" s="24"/>
      <c r="AS1216" s="24"/>
      <c r="AT1216" s="24"/>
      <c r="AU1216" s="24"/>
      <c r="AV1216" s="24"/>
      <c r="AW1216" s="24"/>
      <c r="AX1216" s="24"/>
      <c r="AY1216" s="24"/>
    </row>
    <row r="1217" spans="1:51" x14ac:dyDescent="0.35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  <c r="AA1217" s="24"/>
      <c r="AB1217" s="24"/>
      <c r="AC1217" s="24"/>
      <c r="AD1217" s="24"/>
      <c r="AE1217" s="24"/>
      <c r="AF1217" s="24"/>
      <c r="AG1217" s="24"/>
      <c r="AH1217" s="24"/>
      <c r="AI1217" s="24"/>
      <c r="AJ1217" s="24"/>
      <c r="AK1217" s="24"/>
      <c r="AL1217" s="24"/>
      <c r="AM1217" s="24"/>
      <c r="AN1217" s="24"/>
      <c r="AO1217" s="24"/>
      <c r="AP1217" s="24"/>
      <c r="AQ1217" s="24"/>
      <c r="AR1217" s="24"/>
      <c r="AS1217" s="24"/>
      <c r="AT1217" s="24"/>
      <c r="AU1217" s="24"/>
      <c r="AV1217" s="24"/>
      <c r="AW1217" s="24"/>
      <c r="AX1217" s="24"/>
      <c r="AY1217" s="24"/>
    </row>
    <row r="1218" spans="1:51" x14ac:dyDescent="0.35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  <c r="AA1218" s="24"/>
      <c r="AB1218" s="24"/>
      <c r="AC1218" s="24"/>
      <c r="AD1218" s="24"/>
      <c r="AE1218" s="24"/>
      <c r="AF1218" s="24"/>
      <c r="AG1218" s="24"/>
      <c r="AH1218" s="24"/>
      <c r="AI1218" s="24"/>
      <c r="AJ1218" s="24"/>
      <c r="AK1218" s="24"/>
      <c r="AL1218" s="24"/>
      <c r="AM1218" s="24"/>
      <c r="AN1218" s="24"/>
      <c r="AO1218" s="24"/>
      <c r="AP1218" s="24"/>
      <c r="AQ1218" s="24"/>
      <c r="AR1218" s="24"/>
      <c r="AS1218" s="24"/>
      <c r="AT1218" s="24"/>
      <c r="AU1218" s="24"/>
      <c r="AV1218" s="24"/>
      <c r="AW1218" s="24"/>
      <c r="AX1218" s="24"/>
      <c r="AY1218" s="24"/>
    </row>
    <row r="1219" spans="1:51" x14ac:dyDescent="0.35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/>
      <c r="AA1219" s="24"/>
      <c r="AB1219" s="24"/>
      <c r="AC1219" s="24"/>
      <c r="AD1219" s="24"/>
      <c r="AE1219" s="24"/>
      <c r="AF1219" s="24"/>
      <c r="AG1219" s="24"/>
      <c r="AH1219" s="24"/>
      <c r="AI1219" s="24"/>
      <c r="AJ1219" s="24"/>
      <c r="AK1219" s="24"/>
      <c r="AL1219" s="24"/>
      <c r="AM1219" s="24"/>
      <c r="AN1219" s="24"/>
      <c r="AO1219" s="24"/>
      <c r="AP1219" s="24"/>
      <c r="AQ1219" s="24"/>
      <c r="AR1219" s="24"/>
      <c r="AS1219" s="24"/>
      <c r="AT1219" s="24"/>
      <c r="AU1219" s="24"/>
      <c r="AV1219" s="24"/>
      <c r="AW1219" s="24"/>
      <c r="AX1219" s="24"/>
      <c r="AY1219" s="24"/>
    </row>
    <row r="1220" spans="1:51" x14ac:dyDescent="0.35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  <c r="AA1220" s="24"/>
      <c r="AB1220" s="24"/>
      <c r="AC1220" s="24"/>
      <c r="AD1220" s="24"/>
      <c r="AE1220" s="24"/>
      <c r="AF1220" s="24"/>
      <c r="AG1220" s="24"/>
      <c r="AH1220" s="24"/>
      <c r="AI1220" s="24"/>
      <c r="AJ1220" s="24"/>
      <c r="AK1220" s="24"/>
      <c r="AL1220" s="24"/>
      <c r="AM1220" s="24"/>
      <c r="AN1220" s="24"/>
      <c r="AO1220" s="24"/>
      <c r="AP1220" s="24"/>
      <c r="AQ1220" s="24"/>
      <c r="AR1220" s="24"/>
      <c r="AS1220" s="24"/>
      <c r="AT1220" s="24"/>
      <c r="AU1220" s="24"/>
      <c r="AV1220" s="24"/>
      <c r="AW1220" s="24"/>
      <c r="AX1220" s="24"/>
      <c r="AY1220" s="24"/>
    </row>
    <row r="1221" spans="1:51" x14ac:dyDescent="0.35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  <c r="AA1221" s="24"/>
      <c r="AB1221" s="24"/>
      <c r="AC1221" s="24"/>
      <c r="AD1221" s="24"/>
      <c r="AE1221" s="24"/>
      <c r="AF1221" s="24"/>
      <c r="AG1221" s="24"/>
      <c r="AH1221" s="24"/>
      <c r="AI1221" s="24"/>
      <c r="AJ1221" s="24"/>
      <c r="AK1221" s="24"/>
      <c r="AL1221" s="24"/>
      <c r="AM1221" s="24"/>
      <c r="AN1221" s="24"/>
      <c r="AO1221" s="24"/>
      <c r="AP1221" s="24"/>
      <c r="AQ1221" s="24"/>
      <c r="AR1221" s="24"/>
      <c r="AS1221" s="24"/>
      <c r="AT1221" s="24"/>
      <c r="AU1221" s="24"/>
      <c r="AV1221" s="24"/>
      <c r="AW1221" s="24"/>
      <c r="AX1221" s="24"/>
      <c r="AY1221" s="24"/>
    </row>
    <row r="1222" spans="1:51" x14ac:dyDescent="0.35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  <c r="AA1222" s="24"/>
      <c r="AB1222" s="24"/>
      <c r="AC1222" s="24"/>
      <c r="AD1222" s="24"/>
      <c r="AE1222" s="24"/>
      <c r="AF1222" s="24"/>
      <c r="AG1222" s="24"/>
      <c r="AH1222" s="24"/>
      <c r="AI1222" s="24"/>
      <c r="AJ1222" s="24"/>
      <c r="AK1222" s="24"/>
      <c r="AL1222" s="24"/>
      <c r="AM1222" s="24"/>
      <c r="AN1222" s="24"/>
      <c r="AO1222" s="24"/>
      <c r="AP1222" s="24"/>
      <c r="AQ1222" s="24"/>
      <c r="AR1222" s="24"/>
      <c r="AS1222" s="24"/>
      <c r="AT1222" s="24"/>
      <c r="AU1222" s="24"/>
      <c r="AV1222" s="24"/>
      <c r="AW1222" s="24"/>
      <c r="AX1222" s="24"/>
      <c r="AY1222" s="24"/>
    </row>
    <row r="1223" spans="1:51" x14ac:dyDescent="0.35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  <c r="Y1223" s="24"/>
      <c r="Z1223" s="24"/>
      <c r="AA1223" s="24"/>
      <c r="AB1223" s="24"/>
      <c r="AC1223" s="24"/>
      <c r="AD1223" s="24"/>
      <c r="AE1223" s="24"/>
      <c r="AF1223" s="24"/>
      <c r="AG1223" s="24"/>
      <c r="AH1223" s="24"/>
      <c r="AI1223" s="24"/>
      <c r="AJ1223" s="24"/>
      <c r="AK1223" s="24"/>
      <c r="AL1223" s="24"/>
      <c r="AM1223" s="24"/>
      <c r="AN1223" s="24"/>
      <c r="AO1223" s="24"/>
      <c r="AP1223" s="24"/>
      <c r="AQ1223" s="24"/>
      <c r="AR1223" s="24"/>
      <c r="AS1223" s="24"/>
      <c r="AT1223" s="24"/>
      <c r="AU1223" s="24"/>
      <c r="AV1223" s="24"/>
      <c r="AW1223" s="24"/>
      <c r="AX1223" s="24"/>
      <c r="AY1223" s="24"/>
    </row>
    <row r="1224" spans="1:51" x14ac:dyDescent="0.35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  <c r="AA1224" s="24"/>
      <c r="AB1224" s="24"/>
      <c r="AC1224" s="24"/>
      <c r="AD1224" s="24"/>
      <c r="AE1224" s="24"/>
      <c r="AF1224" s="24"/>
      <c r="AG1224" s="24"/>
      <c r="AH1224" s="24"/>
      <c r="AI1224" s="24"/>
      <c r="AJ1224" s="24"/>
      <c r="AK1224" s="24"/>
      <c r="AL1224" s="24"/>
      <c r="AM1224" s="24"/>
      <c r="AN1224" s="24"/>
      <c r="AO1224" s="24"/>
      <c r="AP1224" s="24"/>
      <c r="AQ1224" s="24"/>
      <c r="AR1224" s="24"/>
      <c r="AS1224" s="24"/>
      <c r="AT1224" s="24"/>
      <c r="AU1224" s="24"/>
      <c r="AV1224" s="24"/>
      <c r="AW1224" s="24"/>
      <c r="AX1224" s="24"/>
      <c r="AY1224" s="24"/>
    </row>
    <row r="1225" spans="1:51" x14ac:dyDescent="0.35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  <c r="AA1225" s="24"/>
      <c r="AB1225" s="24"/>
      <c r="AC1225" s="24"/>
      <c r="AD1225" s="24"/>
      <c r="AE1225" s="24"/>
      <c r="AF1225" s="24"/>
      <c r="AG1225" s="24"/>
      <c r="AH1225" s="24"/>
      <c r="AI1225" s="24"/>
      <c r="AJ1225" s="24"/>
      <c r="AK1225" s="24"/>
      <c r="AL1225" s="24"/>
      <c r="AM1225" s="24"/>
      <c r="AN1225" s="24"/>
      <c r="AO1225" s="24"/>
      <c r="AP1225" s="24"/>
      <c r="AQ1225" s="24"/>
      <c r="AR1225" s="24"/>
      <c r="AS1225" s="24"/>
      <c r="AT1225" s="24"/>
      <c r="AU1225" s="24"/>
      <c r="AV1225" s="24"/>
      <c r="AW1225" s="24"/>
      <c r="AX1225" s="24"/>
      <c r="AY1225" s="24"/>
    </row>
    <row r="1226" spans="1:51" x14ac:dyDescent="0.35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  <c r="AA1226" s="24"/>
      <c r="AB1226" s="24"/>
      <c r="AC1226" s="24"/>
      <c r="AD1226" s="24"/>
      <c r="AE1226" s="24"/>
      <c r="AF1226" s="24"/>
      <c r="AG1226" s="24"/>
      <c r="AH1226" s="24"/>
      <c r="AI1226" s="24"/>
      <c r="AJ1226" s="24"/>
      <c r="AK1226" s="24"/>
      <c r="AL1226" s="24"/>
      <c r="AM1226" s="24"/>
      <c r="AN1226" s="24"/>
      <c r="AO1226" s="24"/>
      <c r="AP1226" s="24"/>
      <c r="AQ1226" s="24"/>
      <c r="AR1226" s="24"/>
      <c r="AS1226" s="24"/>
      <c r="AT1226" s="24"/>
      <c r="AU1226" s="24"/>
      <c r="AV1226" s="24"/>
      <c r="AW1226" s="24"/>
      <c r="AX1226" s="24"/>
      <c r="AY1226" s="24"/>
    </row>
    <row r="1227" spans="1:51" x14ac:dyDescent="0.35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  <c r="Y1227" s="24"/>
      <c r="Z1227" s="24"/>
      <c r="AA1227" s="24"/>
      <c r="AB1227" s="24"/>
      <c r="AC1227" s="24"/>
      <c r="AD1227" s="24"/>
      <c r="AE1227" s="24"/>
      <c r="AF1227" s="24"/>
      <c r="AG1227" s="24"/>
      <c r="AH1227" s="24"/>
      <c r="AI1227" s="24"/>
      <c r="AJ1227" s="24"/>
      <c r="AK1227" s="24"/>
      <c r="AL1227" s="24"/>
      <c r="AM1227" s="24"/>
      <c r="AN1227" s="24"/>
      <c r="AO1227" s="24"/>
      <c r="AP1227" s="24"/>
      <c r="AQ1227" s="24"/>
      <c r="AR1227" s="24"/>
      <c r="AS1227" s="24"/>
      <c r="AT1227" s="24"/>
      <c r="AU1227" s="24"/>
      <c r="AV1227" s="24"/>
      <c r="AW1227" s="24"/>
      <c r="AX1227" s="24"/>
      <c r="AY1227" s="24"/>
    </row>
    <row r="1228" spans="1:51" x14ac:dyDescent="0.35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  <c r="Y1228" s="24"/>
      <c r="Z1228" s="24"/>
      <c r="AA1228" s="24"/>
      <c r="AB1228" s="24"/>
      <c r="AC1228" s="24"/>
      <c r="AD1228" s="24"/>
      <c r="AE1228" s="24"/>
      <c r="AF1228" s="24"/>
      <c r="AG1228" s="24"/>
      <c r="AH1228" s="24"/>
      <c r="AI1228" s="24"/>
      <c r="AJ1228" s="24"/>
      <c r="AK1228" s="24"/>
      <c r="AL1228" s="24"/>
      <c r="AM1228" s="24"/>
      <c r="AN1228" s="24"/>
      <c r="AO1228" s="24"/>
      <c r="AP1228" s="24"/>
      <c r="AQ1228" s="24"/>
      <c r="AR1228" s="24"/>
      <c r="AS1228" s="24"/>
      <c r="AT1228" s="24"/>
      <c r="AU1228" s="24"/>
      <c r="AV1228" s="24"/>
      <c r="AW1228" s="24"/>
      <c r="AX1228" s="24"/>
      <c r="AY1228" s="24"/>
    </row>
    <row r="1229" spans="1:51" x14ac:dyDescent="0.35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  <c r="AA1229" s="24"/>
      <c r="AB1229" s="24"/>
      <c r="AC1229" s="24"/>
      <c r="AD1229" s="24"/>
      <c r="AE1229" s="24"/>
      <c r="AF1229" s="24"/>
      <c r="AG1229" s="24"/>
      <c r="AH1229" s="24"/>
      <c r="AI1229" s="24"/>
      <c r="AJ1229" s="24"/>
      <c r="AK1229" s="24"/>
      <c r="AL1229" s="24"/>
      <c r="AM1229" s="24"/>
      <c r="AN1229" s="24"/>
      <c r="AO1229" s="24"/>
      <c r="AP1229" s="24"/>
      <c r="AQ1229" s="24"/>
      <c r="AR1229" s="24"/>
      <c r="AS1229" s="24"/>
      <c r="AT1229" s="24"/>
      <c r="AU1229" s="24"/>
      <c r="AV1229" s="24"/>
      <c r="AW1229" s="24"/>
      <c r="AX1229" s="24"/>
      <c r="AY1229" s="24"/>
    </row>
    <row r="1230" spans="1:51" x14ac:dyDescent="0.35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  <c r="AA1230" s="24"/>
      <c r="AB1230" s="24"/>
      <c r="AC1230" s="24"/>
      <c r="AD1230" s="24"/>
      <c r="AE1230" s="24"/>
      <c r="AF1230" s="24"/>
      <c r="AG1230" s="24"/>
      <c r="AH1230" s="24"/>
      <c r="AI1230" s="24"/>
      <c r="AJ1230" s="24"/>
      <c r="AK1230" s="24"/>
      <c r="AL1230" s="24"/>
      <c r="AM1230" s="24"/>
      <c r="AN1230" s="24"/>
      <c r="AO1230" s="24"/>
      <c r="AP1230" s="24"/>
      <c r="AQ1230" s="24"/>
      <c r="AR1230" s="24"/>
      <c r="AS1230" s="24"/>
      <c r="AT1230" s="24"/>
      <c r="AU1230" s="24"/>
      <c r="AV1230" s="24"/>
      <c r="AW1230" s="24"/>
      <c r="AX1230" s="24"/>
      <c r="AY1230" s="24"/>
    </row>
    <row r="1231" spans="1:51" x14ac:dyDescent="0.35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  <c r="AA1231" s="24"/>
      <c r="AB1231" s="24"/>
      <c r="AC1231" s="24"/>
      <c r="AD1231" s="24"/>
      <c r="AE1231" s="24"/>
      <c r="AF1231" s="24"/>
      <c r="AG1231" s="24"/>
      <c r="AH1231" s="24"/>
      <c r="AI1231" s="24"/>
      <c r="AJ1231" s="24"/>
      <c r="AK1231" s="24"/>
      <c r="AL1231" s="24"/>
      <c r="AM1231" s="24"/>
      <c r="AN1231" s="24"/>
      <c r="AO1231" s="24"/>
      <c r="AP1231" s="24"/>
      <c r="AQ1231" s="24"/>
      <c r="AR1231" s="24"/>
      <c r="AS1231" s="24"/>
      <c r="AT1231" s="24"/>
      <c r="AU1231" s="24"/>
      <c r="AV1231" s="24"/>
      <c r="AW1231" s="24"/>
      <c r="AX1231" s="24"/>
      <c r="AY1231" s="24"/>
    </row>
    <row r="1232" spans="1:51" x14ac:dyDescent="0.35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  <c r="AA1232" s="24"/>
      <c r="AB1232" s="24"/>
      <c r="AC1232" s="24"/>
      <c r="AD1232" s="24"/>
      <c r="AE1232" s="24"/>
      <c r="AF1232" s="24"/>
      <c r="AG1232" s="24"/>
      <c r="AH1232" s="24"/>
      <c r="AI1232" s="24"/>
      <c r="AJ1232" s="24"/>
      <c r="AK1232" s="24"/>
      <c r="AL1232" s="24"/>
      <c r="AM1232" s="24"/>
      <c r="AN1232" s="24"/>
      <c r="AO1232" s="24"/>
      <c r="AP1232" s="24"/>
      <c r="AQ1232" s="24"/>
      <c r="AR1232" s="24"/>
      <c r="AS1232" s="24"/>
      <c r="AT1232" s="24"/>
      <c r="AU1232" s="24"/>
      <c r="AV1232" s="24"/>
      <c r="AW1232" s="24"/>
      <c r="AX1232" s="24"/>
      <c r="AY1232" s="24"/>
    </row>
    <row r="1233" spans="1:51" x14ac:dyDescent="0.35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  <c r="AA1233" s="24"/>
      <c r="AB1233" s="24"/>
      <c r="AC1233" s="24"/>
      <c r="AD1233" s="24"/>
      <c r="AE1233" s="24"/>
      <c r="AF1233" s="24"/>
      <c r="AG1233" s="24"/>
      <c r="AH1233" s="24"/>
      <c r="AI1233" s="24"/>
      <c r="AJ1233" s="24"/>
      <c r="AK1233" s="24"/>
      <c r="AL1233" s="24"/>
      <c r="AM1233" s="24"/>
      <c r="AN1233" s="24"/>
      <c r="AO1233" s="24"/>
      <c r="AP1233" s="24"/>
      <c r="AQ1233" s="24"/>
      <c r="AR1233" s="24"/>
      <c r="AS1233" s="24"/>
      <c r="AT1233" s="24"/>
      <c r="AU1233" s="24"/>
      <c r="AV1233" s="24"/>
      <c r="AW1233" s="24"/>
      <c r="AX1233" s="24"/>
      <c r="AY1233" s="24"/>
    </row>
    <row r="1234" spans="1:51" x14ac:dyDescent="0.35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  <c r="AA1234" s="24"/>
      <c r="AB1234" s="24"/>
      <c r="AC1234" s="24"/>
      <c r="AD1234" s="24"/>
      <c r="AE1234" s="24"/>
      <c r="AF1234" s="24"/>
      <c r="AG1234" s="24"/>
      <c r="AH1234" s="24"/>
      <c r="AI1234" s="24"/>
      <c r="AJ1234" s="24"/>
      <c r="AK1234" s="24"/>
      <c r="AL1234" s="24"/>
      <c r="AM1234" s="24"/>
      <c r="AN1234" s="24"/>
      <c r="AO1234" s="24"/>
      <c r="AP1234" s="24"/>
      <c r="AQ1234" s="24"/>
      <c r="AR1234" s="24"/>
      <c r="AS1234" s="24"/>
      <c r="AT1234" s="24"/>
      <c r="AU1234" s="24"/>
      <c r="AV1234" s="24"/>
      <c r="AW1234" s="24"/>
      <c r="AX1234" s="24"/>
      <c r="AY1234" s="24"/>
    </row>
    <row r="1235" spans="1:51" x14ac:dyDescent="0.35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  <c r="AA1235" s="24"/>
      <c r="AB1235" s="24"/>
      <c r="AC1235" s="24"/>
      <c r="AD1235" s="24"/>
      <c r="AE1235" s="24"/>
      <c r="AF1235" s="24"/>
      <c r="AG1235" s="24"/>
      <c r="AH1235" s="24"/>
      <c r="AI1235" s="24"/>
      <c r="AJ1235" s="24"/>
      <c r="AK1235" s="24"/>
      <c r="AL1235" s="24"/>
      <c r="AM1235" s="24"/>
      <c r="AN1235" s="24"/>
      <c r="AO1235" s="24"/>
      <c r="AP1235" s="24"/>
      <c r="AQ1235" s="24"/>
      <c r="AR1235" s="24"/>
      <c r="AS1235" s="24"/>
      <c r="AT1235" s="24"/>
      <c r="AU1235" s="24"/>
      <c r="AV1235" s="24"/>
      <c r="AW1235" s="24"/>
      <c r="AX1235" s="24"/>
      <c r="AY1235" s="24"/>
    </row>
    <row r="1236" spans="1:51" x14ac:dyDescent="0.35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  <c r="AA1236" s="24"/>
      <c r="AB1236" s="24"/>
      <c r="AC1236" s="24"/>
      <c r="AD1236" s="24"/>
      <c r="AE1236" s="24"/>
      <c r="AF1236" s="24"/>
      <c r="AG1236" s="24"/>
      <c r="AH1236" s="24"/>
      <c r="AI1236" s="24"/>
      <c r="AJ1236" s="24"/>
      <c r="AK1236" s="24"/>
      <c r="AL1236" s="24"/>
      <c r="AM1236" s="24"/>
      <c r="AN1236" s="24"/>
      <c r="AO1236" s="24"/>
      <c r="AP1236" s="24"/>
      <c r="AQ1236" s="24"/>
      <c r="AR1236" s="24"/>
      <c r="AS1236" s="24"/>
      <c r="AT1236" s="24"/>
      <c r="AU1236" s="24"/>
      <c r="AV1236" s="24"/>
      <c r="AW1236" s="24"/>
      <c r="AX1236" s="24"/>
      <c r="AY1236" s="24"/>
    </row>
    <row r="1237" spans="1:51" x14ac:dyDescent="0.35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  <c r="AA1237" s="24"/>
      <c r="AB1237" s="24"/>
      <c r="AC1237" s="24"/>
      <c r="AD1237" s="24"/>
      <c r="AE1237" s="24"/>
      <c r="AF1237" s="24"/>
      <c r="AG1237" s="24"/>
      <c r="AH1237" s="24"/>
      <c r="AI1237" s="24"/>
      <c r="AJ1237" s="24"/>
      <c r="AK1237" s="24"/>
      <c r="AL1237" s="24"/>
      <c r="AM1237" s="24"/>
      <c r="AN1237" s="24"/>
      <c r="AO1237" s="24"/>
      <c r="AP1237" s="24"/>
      <c r="AQ1237" s="24"/>
      <c r="AR1237" s="24"/>
      <c r="AS1237" s="24"/>
      <c r="AT1237" s="24"/>
      <c r="AU1237" s="24"/>
      <c r="AV1237" s="24"/>
      <c r="AW1237" s="24"/>
      <c r="AX1237" s="24"/>
      <c r="AY1237" s="24"/>
    </row>
    <row r="1238" spans="1:51" x14ac:dyDescent="0.35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  <c r="AA1238" s="24"/>
      <c r="AB1238" s="24"/>
      <c r="AC1238" s="24"/>
      <c r="AD1238" s="24"/>
      <c r="AE1238" s="24"/>
      <c r="AF1238" s="24"/>
      <c r="AG1238" s="24"/>
      <c r="AH1238" s="24"/>
      <c r="AI1238" s="24"/>
      <c r="AJ1238" s="24"/>
      <c r="AK1238" s="24"/>
      <c r="AL1238" s="24"/>
      <c r="AM1238" s="24"/>
      <c r="AN1238" s="24"/>
      <c r="AO1238" s="24"/>
      <c r="AP1238" s="24"/>
      <c r="AQ1238" s="24"/>
      <c r="AR1238" s="24"/>
      <c r="AS1238" s="24"/>
      <c r="AT1238" s="24"/>
      <c r="AU1238" s="24"/>
      <c r="AV1238" s="24"/>
      <c r="AW1238" s="24"/>
      <c r="AX1238" s="24"/>
      <c r="AY1238" s="24"/>
    </row>
    <row r="1239" spans="1:51" x14ac:dyDescent="0.35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  <c r="Y1239" s="24"/>
      <c r="Z1239" s="24"/>
      <c r="AA1239" s="24"/>
      <c r="AB1239" s="24"/>
      <c r="AC1239" s="24"/>
      <c r="AD1239" s="24"/>
      <c r="AE1239" s="24"/>
      <c r="AF1239" s="24"/>
      <c r="AG1239" s="24"/>
      <c r="AH1239" s="24"/>
      <c r="AI1239" s="24"/>
      <c r="AJ1239" s="24"/>
      <c r="AK1239" s="24"/>
      <c r="AL1239" s="24"/>
      <c r="AM1239" s="24"/>
      <c r="AN1239" s="24"/>
      <c r="AO1239" s="24"/>
      <c r="AP1239" s="24"/>
      <c r="AQ1239" s="24"/>
      <c r="AR1239" s="24"/>
      <c r="AS1239" s="24"/>
      <c r="AT1239" s="24"/>
      <c r="AU1239" s="24"/>
      <c r="AV1239" s="24"/>
      <c r="AW1239" s="24"/>
      <c r="AX1239" s="24"/>
      <c r="AY1239" s="24"/>
    </row>
    <row r="1240" spans="1:51" x14ac:dyDescent="0.35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  <c r="AA1240" s="24"/>
      <c r="AB1240" s="24"/>
      <c r="AC1240" s="24"/>
      <c r="AD1240" s="24"/>
      <c r="AE1240" s="24"/>
      <c r="AF1240" s="24"/>
      <c r="AG1240" s="24"/>
      <c r="AH1240" s="24"/>
      <c r="AI1240" s="24"/>
      <c r="AJ1240" s="24"/>
      <c r="AK1240" s="24"/>
      <c r="AL1240" s="24"/>
      <c r="AM1240" s="24"/>
      <c r="AN1240" s="24"/>
      <c r="AO1240" s="24"/>
      <c r="AP1240" s="24"/>
      <c r="AQ1240" s="24"/>
      <c r="AR1240" s="24"/>
      <c r="AS1240" s="24"/>
      <c r="AT1240" s="24"/>
      <c r="AU1240" s="24"/>
      <c r="AV1240" s="24"/>
      <c r="AW1240" s="24"/>
      <c r="AX1240" s="24"/>
      <c r="AY1240" s="24"/>
    </row>
    <row r="1241" spans="1:51" x14ac:dyDescent="0.35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  <c r="AA1241" s="24"/>
      <c r="AB1241" s="24"/>
      <c r="AC1241" s="24"/>
      <c r="AD1241" s="24"/>
      <c r="AE1241" s="24"/>
      <c r="AF1241" s="24"/>
      <c r="AG1241" s="24"/>
      <c r="AH1241" s="24"/>
      <c r="AI1241" s="24"/>
      <c r="AJ1241" s="24"/>
      <c r="AK1241" s="24"/>
      <c r="AL1241" s="24"/>
      <c r="AM1241" s="24"/>
      <c r="AN1241" s="24"/>
      <c r="AO1241" s="24"/>
      <c r="AP1241" s="24"/>
      <c r="AQ1241" s="24"/>
      <c r="AR1241" s="24"/>
      <c r="AS1241" s="24"/>
      <c r="AT1241" s="24"/>
      <c r="AU1241" s="24"/>
      <c r="AV1241" s="24"/>
      <c r="AW1241" s="24"/>
      <c r="AX1241" s="24"/>
      <c r="AY1241" s="24"/>
    </row>
    <row r="1242" spans="1:51" x14ac:dyDescent="0.35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  <c r="AA1242" s="24"/>
      <c r="AB1242" s="24"/>
      <c r="AC1242" s="24"/>
      <c r="AD1242" s="24"/>
      <c r="AE1242" s="24"/>
      <c r="AF1242" s="24"/>
      <c r="AG1242" s="24"/>
      <c r="AH1242" s="24"/>
      <c r="AI1242" s="24"/>
      <c r="AJ1242" s="24"/>
      <c r="AK1242" s="24"/>
      <c r="AL1242" s="24"/>
      <c r="AM1242" s="24"/>
      <c r="AN1242" s="24"/>
      <c r="AO1242" s="24"/>
      <c r="AP1242" s="24"/>
      <c r="AQ1242" s="24"/>
      <c r="AR1242" s="24"/>
      <c r="AS1242" s="24"/>
      <c r="AT1242" s="24"/>
      <c r="AU1242" s="24"/>
      <c r="AV1242" s="24"/>
      <c r="AW1242" s="24"/>
      <c r="AX1242" s="24"/>
      <c r="AY1242" s="24"/>
    </row>
    <row r="1243" spans="1:51" x14ac:dyDescent="0.35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  <c r="AA1243" s="24"/>
      <c r="AB1243" s="24"/>
      <c r="AC1243" s="24"/>
      <c r="AD1243" s="24"/>
      <c r="AE1243" s="24"/>
      <c r="AF1243" s="24"/>
      <c r="AG1243" s="24"/>
      <c r="AH1243" s="24"/>
      <c r="AI1243" s="24"/>
      <c r="AJ1243" s="24"/>
      <c r="AK1243" s="24"/>
      <c r="AL1243" s="24"/>
      <c r="AM1243" s="24"/>
      <c r="AN1243" s="24"/>
      <c r="AO1243" s="24"/>
      <c r="AP1243" s="24"/>
      <c r="AQ1243" s="24"/>
      <c r="AR1243" s="24"/>
      <c r="AS1243" s="24"/>
      <c r="AT1243" s="24"/>
      <c r="AU1243" s="24"/>
      <c r="AV1243" s="24"/>
      <c r="AW1243" s="24"/>
      <c r="AX1243" s="24"/>
      <c r="AY1243" s="24"/>
    </row>
    <row r="1244" spans="1:51" x14ac:dyDescent="0.35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  <c r="AA1244" s="24"/>
      <c r="AB1244" s="24"/>
      <c r="AC1244" s="24"/>
      <c r="AD1244" s="24"/>
      <c r="AE1244" s="24"/>
      <c r="AF1244" s="24"/>
      <c r="AG1244" s="24"/>
      <c r="AH1244" s="24"/>
      <c r="AI1244" s="24"/>
      <c r="AJ1244" s="24"/>
      <c r="AK1244" s="24"/>
      <c r="AL1244" s="24"/>
      <c r="AM1244" s="24"/>
      <c r="AN1244" s="24"/>
      <c r="AO1244" s="24"/>
      <c r="AP1244" s="24"/>
      <c r="AQ1244" s="24"/>
      <c r="AR1244" s="24"/>
      <c r="AS1244" s="24"/>
      <c r="AT1244" s="24"/>
      <c r="AU1244" s="24"/>
      <c r="AV1244" s="24"/>
      <c r="AW1244" s="24"/>
      <c r="AX1244" s="24"/>
      <c r="AY1244" s="24"/>
    </row>
    <row r="1245" spans="1:51" x14ac:dyDescent="0.35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  <c r="Y1245" s="24"/>
      <c r="Z1245" s="24"/>
      <c r="AA1245" s="24"/>
      <c r="AB1245" s="24"/>
      <c r="AC1245" s="24"/>
      <c r="AD1245" s="24"/>
      <c r="AE1245" s="24"/>
      <c r="AF1245" s="24"/>
      <c r="AG1245" s="24"/>
      <c r="AH1245" s="24"/>
      <c r="AI1245" s="24"/>
      <c r="AJ1245" s="24"/>
      <c r="AK1245" s="24"/>
      <c r="AL1245" s="24"/>
      <c r="AM1245" s="24"/>
      <c r="AN1245" s="24"/>
      <c r="AO1245" s="24"/>
      <c r="AP1245" s="24"/>
      <c r="AQ1245" s="24"/>
      <c r="AR1245" s="24"/>
      <c r="AS1245" s="24"/>
      <c r="AT1245" s="24"/>
      <c r="AU1245" s="24"/>
      <c r="AV1245" s="24"/>
      <c r="AW1245" s="24"/>
      <c r="AX1245" s="24"/>
      <c r="AY1245" s="24"/>
    </row>
    <row r="1246" spans="1:51" x14ac:dyDescent="0.35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4"/>
      <c r="AC1246" s="24"/>
      <c r="AD1246" s="24"/>
      <c r="AE1246" s="24"/>
      <c r="AF1246" s="24"/>
      <c r="AG1246" s="24"/>
      <c r="AH1246" s="24"/>
      <c r="AI1246" s="24"/>
      <c r="AJ1246" s="24"/>
      <c r="AK1246" s="24"/>
      <c r="AL1246" s="24"/>
      <c r="AM1246" s="24"/>
      <c r="AN1246" s="24"/>
      <c r="AO1246" s="24"/>
      <c r="AP1246" s="24"/>
      <c r="AQ1246" s="24"/>
      <c r="AR1246" s="24"/>
      <c r="AS1246" s="24"/>
      <c r="AT1246" s="24"/>
      <c r="AU1246" s="24"/>
      <c r="AV1246" s="24"/>
      <c r="AW1246" s="24"/>
      <c r="AX1246" s="24"/>
      <c r="AY1246" s="24"/>
    </row>
    <row r="1247" spans="1:51" x14ac:dyDescent="0.35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  <c r="AA1247" s="24"/>
      <c r="AB1247" s="24"/>
      <c r="AC1247" s="24"/>
      <c r="AD1247" s="24"/>
      <c r="AE1247" s="24"/>
      <c r="AF1247" s="24"/>
      <c r="AG1247" s="24"/>
      <c r="AH1247" s="24"/>
      <c r="AI1247" s="24"/>
      <c r="AJ1247" s="24"/>
      <c r="AK1247" s="24"/>
      <c r="AL1247" s="24"/>
      <c r="AM1247" s="24"/>
      <c r="AN1247" s="24"/>
      <c r="AO1247" s="24"/>
      <c r="AP1247" s="24"/>
      <c r="AQ1247" s="24"/>
      <c r="AR1247" s="24"/>
      <c r="AS1247" s="24"/>
      <c r="AT1247" s="24"/>
      <c r="AU1247" s="24"/>
      <c r="AV1247" s="24"/>
      <c r="AW1247" s="24"/>
      <c r="AX1247" s="24"/>
      <c r="AY1247" s="24"/>
    </row>
    <row r="1248" spans="1:51" x14ac:dyDescent="0.35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  <c r="AA1248" s="24"/>
      <c r="AB1248" s="24"/>
      <c r="AC1248" s="24"/>
      <c r="AD1248" s="24"/>
      <c r="AE1248" s="24"/>
      <c r="AF1248" s="24"/>
      <c r="AG1248" s="24"/>
      <c r="AH1248" s="24"/>
      <c r="AI1248" s="24"/>
      <c r="AJ1248" s="24"/>
      <c r="AK1248" s="24"/>
      <c r="AL1248" s="24"/>
      <c r="AM1248" s="24"/>
      <c r="AN1248" s="24"/>
      <c r="AO1248" s="24"/>
      <c r="AP1248" s="24"/>
      <c r="AQ1248" s="24"/>
      <c r="AR1248" s="24"/>
      <c r="AS1248" s="24"/>
      <c r="AT1248" s="24"/>
      <c r="AU1248" s="24"/>
      <c r="AV1248" s="24"/>
      <c r="AW1248" s="24"/>
      <c r="AX1248" s="24"/>
      <c r="AY1248" s="24"/>
    </row>
    <row r="1249" spans="1:51" x14ac:dyDescent="0.35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  <c r="AA1249" s="24"/>
      <c r="AB1249" s="24"/>
      <c r="AC1249" s="24"/>
      <c r="AD1249" s="24"/>
      <c r="AE1249" s="24"/>
      <c r="AF1249" s="24"/>
      <c r="AG1249" s="24"/>
      <c r="AH1249" s="24"/>
      <c r="AI1249" s="24"/>
      <c r="AJ1249" s="24"/>
      <c r="AK1249" s="24"/>
      <c r="AL1249" s="24"/>
      <c r="AM1249" s="24"/>
      <c r="AN1249" s="24"/>
      <c r="AO1249" s="24"/>
      <c r="AP1249" s="24"/>
      <c r="AQ1249" s="24"/>
      <c r="AR1249" s="24"/>
      <c r="AS1249" s="24"/>
      <c r="AT1249" s="24"/>
      <c r="AU1249" s="24"/>
      <c r="AV1249" s="24"/>
      <c r="AW1249" s="24"/>
      <c r="AX1249" s="24"/>
      <c r="AY1249" s="24"/>
    </row>
    <row r="1250" spans="1:51" x14ac:dyDescent="0.35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  <c r="AA1250" s="24"/>
      <c r="AB1250" s="24"/>
      <c r="AC1250" s="24"/>
      <c r="AD1250" s="24"/>
      <c r="AE1250" s="24"/>
      <c r="AF1250" s="24"/>
      <c r="AG1250" s="24"/>
      <c r="AH1250" s="24"/>
      <c r="AI1250" s="24"/>
      <c r="AJ1250" s="24"/>
      <c r="AK1250" s="24"/>
      <c r="AL1250" s="24"/>
      <c r="AM1250" s="24"/>
      <c r="AN1250" s="24"/>
      <c r="AO1250" s="24"/>
      <c r="AP1250" s="24"/>
      <c r="AQ1250" s="24"/>
      <c r="AR1250" s="24"/>
      <c r="AS1250" s="24"/>
      <c r="AT1250" s="24"/>
      <c r="AU1250" s="24"/>
      <c r="AV1250" s="24"/>
      <c r="AW1250" s="24"/>
      <c r="AX1250" s="24"/>
      <c r="AY1250" s="24"/>
    </row>
    <row r="1251" spans="1:51" x14ac:dyDescent="0.35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  <c r="AA1251" s="24"/>
      <c r="AB1251" s="24"/>
      <c r="AC1251" s="24"/>
      <c r="AD1251" s="24"/>
      <c r="AE1251" s="24"/>
      <c r="AF1251" s="24"/>
      <c r="AG1251" s="24"/>
      <c r="AH1251" s="24"/>
      <c r="AI1251" s="24"/>
      <c r="AJ1251" s="24"/>
      <c r="AK1251" s="24"/>
      <c r="AL1251" s="24"/>
      <c r="AM1251" s="24"/>
      <c r="AN1251" s="24"/>
      <c r="AO1251" s="24"/>
      <c r="AP1251" s="24"/>
      <c r="AQ1251" s="24"/>
      <c r="AR1251" s="24"/>
      <c r="AS1251" s="24"/>
      <c r="AT1251" s="24"/>
      <c r="AU1251" s="24"/>
      <c r="AV1251" s="24"/>
      <c r="AW1251" s="24"/>
      <c r="AX1251" s="24"/>
      <c r="AY1251" s="24"/>
    </row>
    <row r="1252" spans="1:51" x14ac:dyDescent="0.35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  <c r="AA1252" s="24"/>
      <c r="AB1252" s="24"/>
      <c r="AC1252" s="24"/>
      <c r="AD1252" s="24"/>
      <c r="AE1252" s="24"/>
      <c r="AF1252" s="24"/>
      <c r="AG1252" s="24"/>
      <c r="AH1252" s="24"/>
      <c r="AI1252" s="24"/>
      <c r="AJ1252" s="24"/>
      <c r="AK1252" s="24"/>
      <c r="AL1252" s="24"/>
      <c r="AM1252" s="24"/>
      <c r="AN1252" s="24"/>
      <c r="AO1252" s="24"/>
      <c r="AP1252" s="24"/>
      <c r="AQ1252" s="24"/>
      <c r="AR1252" s="24"/>
      <c r="AS1252" s="24"/>
      <c r="AT1252" s="24"/>
      <c r="AU1252" s="24"/>
      <c r="AV1252" s="24"/>
      <c r="AW1252" s="24"/>
      <c r="AX1252" s="24"/>
      <c r="AY1252" s="24"/>
    </row>
    <row r="1253" spans="1:51" x14ac:dyDescent="0.35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  <c r="AA1253" s="24"/>
      <c r="AB1253" s="24"/>
      <c r="AC1253" s="24"/>
      <c r="AD1253" s="24"/>
      <c r="AE1253" s="24"/>
      <c r="AF1253" s="24"/>
      <c r="AG1253" s="24"/>
      <c r="AH1253" s="24"/>
      <c r="AI1253" s="24"/>
      <c r="AJ1253" s="24"/>
      <c r="AK1253" s="24"/>
      <c r="AL1253" s="24"/>
      <c r="AM1253" s="24"/>
      <c r="AN1253" s="24"/>
      <c r="AO1253" s="24"/>
      <c r="AP1253" s="24"/>
      <c r="AQ1253" s="24"/>
      <c r="AR1253" s="24"/>
      <c r="AS1253" s="24"/>
      <c r="AT1253" s="24"/>
      <c r="AU1253" s="24"/>
      <c r="AV1253" s="24"/>
      <c r="AW1253" s="24"/>
      <c r="AX1253" s="24"/>
      <c r="AY1253" s="24"/>
    </row>
    <row r="1254" spans="1:51" x14ac:dyDescent="0.35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  <c r="AA1254" s="24"/>
      <c r="AB1254" s="24"/>
      <c r="AC1254" s="24"/>
      <c r="AD1254" s="24"/>
      <c r="AE1254" s="24"/>
      <c r="AF1254" s="24"/>
      <c r="AG1254" s="24"/>
      <c r="AH1254" s="24"/>
      <c r="AI1254" s="24"/>
      <c r="AJ1254" s="24"/>
      <c r="AK1254" s="24"/>
      <c r="AL1254" s="24"/>
      <c r="AM1254" s="24"/>
      <c r="AN1254" s="24"/>
      <c r="AO1254" s="24"/>
      <c r="AP1254" s="24"/>
      <c r="AQ1254" s="24"/>
      <c r="AR1254" s="24"/>
      <c r="AS1254" s="24"/>
      <c r="AT1254" s="24"/>
      <c r="AU1254" s="24"/>
      <c r="AV1254" s="24"/>
      <c r="AW1254" s="24"/>
      <c r="AX1254" s="24"/>
      <c r="AY1254" s="24"/>
    </row>
    <row r="1255" spans="1:51" x14ac:dyDescent="0.35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  <c r="AA1255" s="24"/>
      <c r="AB1255" s="24"/>
      <c r="AC1255" s="24"/>
      <c r="AD1255" s="24"/>
      <c r="AE1255" s="24"/>
      <c r="AF1255" s="24"/>
      <c r="AG1255" s="24"/>
      <c r="AH1255" s="24"/>
      <c r="AI1255" s="24"/>
      <c r="AJ1255" s="24"/>
      <c r="AK1255" s="24"/>
      <c r="AL1255" s="24"/>
      <c r="AM1255" s="24"/>
      <c r="AN1255" s="24"/>
      <c r="AO1255" s="24"/>
      <c r="AP1255" s="24"/>
      <c r="AQ1255" s="24"/>
      <c r="AR1255" s="24"/>
      <c r="AS1255" s="24"/>
      <c r="AT1255" s="24"/>
      <c r="AU1255" s="24"/>
      <c r="AV1255" s="24"/>
      <c r="AW1255" s="24"/>
      <c r="AX1255" s="24"/>
      <c r="AY1255" s="24"/>
    </row>
    <row r="1256" spans="1:51" x14ac:dyDescent="0.35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  <c r="Y1256" s="24"/>
      <c r="Z1256" s="24"/>
      <c r="AA1256" s="24"/>
      <c r="AB1256" s="24"/>
      <c r="AC1256" s="24"/>
      <c r="AD1256" s="24"/>
      <c r="AE1256" s="24"/>
      <c r="AF1256" s="24"/>
      <c r="AG1256" s="24"/>
      <c r="AH1256" s="24"/>
      <c r="AI1256" s="24"/>
      <c r="AJ1256" s="24"/>
      <c r="AK1256" s="24"/>
      <c r="AL1256" s="24"/>
      <c r="AM1256" s="24"/>
      <c r="AN1256" s="24"/>
      <c r="AO1256" s="24"/>
      <c r="AP1256" s="24"/>
      <c r="AQ1256" s="24"/>
      <c r="AR1256" s="24"/>
      <c r="AS1256" s="24"/>
      <c r="AT1256" s="24"/>
      <c r="AU1256" s="24"/>
      <c r="AV1256" s="24"/>
      <c r="AW1256" s="24"/>
      <c r="AX1256" s="24"/>
      <c r="AY1256" s="24"/>
    </row>
    <row r="1257" spans="1:51" x14ac:dyDescent="0.35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  <c r="AA1257" s="24"/>
      <c r="AB1257" s="24"/>
      <c r="AC1257" s="24"/>
      <c r="AD1257" s="24"/>
      <c r="AE1257" s="24"/>
      <c r="AF1257" s="24"/>
      <c r="AG1257" s="24"/>
      <c r="AH1257" s="24"/>
      <c r="AI1257" s="24"/>
      <c r="AJ1257" s="24"/>
      <c r="AK1257" s="24"/>
      <c r="AL1257" s="24"/>
      <c r="AM1257" s="24"/>
      <c r="AN1257" s="24"/>
      <c r="AO1257" s="24"/>
      <c r="AP1257" s="24"/>
      <c r="AQ1257" s="24"/>
      <c r="AR1257" s="24"/>
      <c r="AS1257" s="24"/>
      <c r="AT1257" s="24"/>
      <c r="AU1257" s="24"/>
      <c r="AV1257" s="24"/>
      <c r="AW1257" s="24"/>
      <c r="AX1257" s="24"/>
      <c r="AY1257" s="24"/>
    </row>
    <row r="1258" spans="1:51" x14ac:dyDescent="0.35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  <c r="Y1258" s="24"/>
      <c r="Z1258" s="24"/>
      <c r="AA1258" s="24"/>
      <c r="AB1258" s="24"/>
      <c r="AC1258" s="24"/>
      <c r="AD1258" s="24"/>
      <c r="AE1258" s="24"/>
      <c r="AF1258" s="24"/>
      <c r="AG1258" s="24"/>
      <c r="AH1258" s="24"/>
      <c r="AI1258" s="24"/>
      <c r="AJ1258" s="24"/>
      <c r="AK1258" s="24"/>
      <c r="AL1258" s="24"/>
      <c r="AM1258" s="24"/>
      <c r="AN1258" s="24"/>
      <c r="AO1258" s="24"/>
      <c r="AP1258" s="24"/>
      <c r="AQ1258" s="24"/>
      <c r="AR1258" s="24"/>
      <c r="AS1258" s="24"/>
      <c r="AT1258" s="24"/>
      <c r="AU1258" s="24"/>
      <c r="AV1258" s="24"/>
      <c r="AW1258" s="24"/>
      <c r="AX1258" s="24"/>
      <c r="AY1258" s="24"/>
    </row>
    <row r="1259" spans="1:51" x14ac:dyDescent="0.35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  <c r="AA1259" s="24"/>
      <c r="AB1259" s="24"/>
      <c r="AC1259" s="24"/>
      <c r="AD1259" s="24"/>
      <c r="AE1259" s="24"/>
      <c r="AF1259" s="24"/>
      <c r="AG1259" s="24"/>
      <c r="AH1259" s="24"/>
      <c r="AI1259" s="24"/>
      <c r="AJ1259" s="24"/>
      <c r="AK1259" s="24"/>
      <c r="AL1259" s="24"/>
      <c r="AM1259" s="24"/>
      <c r="AN1259" s="24"/>
      <c r="AO1259" s="24"/>
      <c r="AP1259" s="24"/>
      <c r="AQ1259" s="24"/>
      <c r="AR1259" s="24"/>
      <c r="AS1259" s="24"/>
      <c r="AT1259" s="24"/>
      <c r="AU1259" s="24"/>
      <c r="AV1259" s="24"/>
      <c r="AW1259" s="24"/>
      <c r="AX1259" s="24"/>
      <c r="AY1259" s="24"/>
    </row>
    <row r="1260" spans="1:51" x14ac:dyDescent="0.35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  <c r="AA1260" s="24"/>
      <c r="AB1260" s="24"/>
      <c r="AC1260" s="24"/>
      <c r="AD1260" s="24"/>
      <c r="AE1260" s="24"/>
      <c r="AF1260" s="24"/>
      <c r="AG1260" s="24"/>
      <c r="AH1260" s="24"/>
      <c r="AI1260" s="24"/>
      <c r="AJ1260" s="24"/>
      <c r="AK1260" s="24"/>
      <c r="AL1260" s="24"/>
      <c r="AM1260" s="24"/>
      <c r="AN1260" s="24"/>
      <c r="AO1260" s="24"/>
      <c r="AP1260" s="24"/>
      <c r="AQ1260" s="24"/>
      <c r="AR1260" s="24"/>
      <c r="AS1260" s="24"/>
      <c r="AT1260" s="24"/>
      <c r="AU1260" s="24"/>
      <c r="AV1260" s="24"/>
      <c r="AW1260" s="24"/>
      <c r="AX1260" s="24"/>
      <c r="AY1260" s="24"/>
    </row>
    <row r="1261" spans="1:51" x14ac:dyDescent="0.35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  <c r="AA1261" s="24"/>
      <c r="AB1261" s="24"/>
      <c r="AC1261" s="24"/>
      <c r="AD1261" s="24"/>
      <c r="AE1261" s="24"/>
      <c r="AF1261" s="24"/>
      <c r="AG1261" s="24"/>
      <c r="AH1261" s="24"/>
      <c r="AI1261" s="24"/>
      <c r="AJ1261" s="24"/>
      <c r="AK1261" s="24"/>
      <c r="AL1261" s="24"/>
      <c r="AM1261" s="24"/>
      <c r="AN1261" s="24"/>
      <c r="AO1261" s="24"/>
      <c r="AP1261" s="24"/>
      <c r="AQ1261" s="24"/>
      <c r="AR1261" s="24"/>
      <c r="AS1261" s="24"/>
      <c r="AT1261" s="24"/>
      <c r="AU1261" s="24"/>
      <c r="AV1261" s="24"/>
      <c r="AW1261" s="24"/>
      <c r="AX1261" s="24"/>
      <c r="AY1261" s="24"/>
    </row>
    <row r="1262" spans="1:51" x14ac:dyDescent="0.35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  <c r="Y1262" s="24"/>
      <c r="Z1262" s="24"/>
      <c r="AA1262" s="24"/>
      <c r="AB1262" s="24"/>
      <c r="AC1262" s="24"/>
      <c r="AD1262" s="24"/>
      <c r="AE1262" s="24"/>
      <c r="AF1262" s="24"/>
      <c r="AG1262" s="24"/>
      <c r="AH1262" s="24"/>
      <c r="AI1262" s="24"/>
      <c r="AJ1262" s="24"/>
      <c r="AK1262" s="24"/>
      <c r="AL1262" s="24"/>
      <c r="AM1262" s="24"/>
      <c r="AN1262" s="24"/>
      <c r="AO1262" s="24"/>
      <c r="AP1262" s="24"/>
      <c r="AQ1262" s="24"/>
      <c r="AR1262" s="24"/>
      <c r="AS1262" s="24"/>
      <c r="AT1262" s="24"/>
      <c r="AU1262" s="24"/>
      <c r="AV1262" s="24"/>
      <c r="AW1262" s="24"/>
      <c r="AX1262" s="24"/>
      <c r="AY1262" s="24"/>
    </row>
    <row r="1263" spans="1:51" x14ac:dyDescent="0.35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  <c r="Y1263" s="24"/>
      <c r="Z1263" s="24"/>
      <c r="AA1263" s="24"/>
      <c r="AB1263" s="24"/>
      <c r="AC1263" s="24"/>
      <c r="AD1263" s="24"/>
      <c r="AE1263" s="24"/>
      <c r="AF1263" s="24"/>
      <c r="AG1263" s="24"/>
      <c r="AH1263" s="24"/>
      <c r="AI1263" s="24"/>
      <c r="AJ1263" s="24"/>
      <c r="AK1263" s="24"/>
      <c r="AL1263" s="24"/>
      <c r="AM1263" s="24"/>
      <c r="AN1263" s="24"/>
      <c r="AO1263" s="24"/>
      <c r="AP1263" s="24"/>
      <c r="AQ1263" s="24"/>
      <c r="AR1263" s="24"/>
      <c r="AS1263" s="24"/>
      <c r="AT1263" s="24"/>
      <c r="AU1263" s="24"/>
      <c r="AV1263" s="24"/>
      <c r="AW1263" s="24"/>
      <c r="AX1263" s="24"/>
      <c r="AY1263" s="24"/>
    </row>
    <row r="1264" spans="1:51" x14ac:dyDescent="0.35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  <c r="Y1264" s="24"/>
      <c r="Z1264" s="24"/>
      <c r="AA1264" s="24"/>
      <c r="AB1264" s="24"/>
      <c r="AC1264" s="24"/>
      <c r="AD1264" s="24"/>
      <c r="AE1264" s="24"/>
      <c r="AF1264" s="24"/>
      <c r="AG1264" s="24"/>
      <c r="AH1264" s="24"/>
      <c r="AI1264" s="24"/>
      <c r="AJ1264" s="24"/>
      <c r="AK1264" s="24"/>
      <c r="AL1264" s="24"/>
      <c r="AM1264" s="24"/>
      <c r="AN1264" s="24"/>
      <c r="AO1264" s="24"/>
      <c r="AP1264" s="24"/>
      <c r="AQ1264" s="24"/>
      <c r="AR1264" s="24"/>
      <c r="AS1264" s="24"/>
      <c r="AT1264" s="24"/>
      <c r="AU1264" s="24"/>
      <c r="AV1264" s="24"/>
      <c r="AW1264" s="24"/>
      <c r="AX1264" s="24"/>
      <c r="AY1264" s="24"/>
    </row>
    <row r="1265" spans="1:51" x14ac:dyDescent="0.35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  <c r="AA1265" s="24"/>
      <c r="AB1265" s="24"/>
      <c r="AC1265" s="24"/>
      <c r="AD1265" s="24"/>
      <c r="AE1265" s="24"/>
      <c r="AF1265" s="24"/>
      <c r="AG1265" s="24"/>
      <c r="AH1265" s="24"/>
      <c r="AI1265" s="24"/>
      <c r="AJ1265" s="24"/>
      <c r="AK1265" s="24"/>
      <c r="AL1265" s="24"/>
      <c r="AM1265" s="24"/>
      <c r="AN1265" s="24"/>
      <c r="AO1265" s="24"/>
      <c r="AP1265" s="24"/>
      <c r="AQ1265" s="24"/>
      <c r="AR1265" s="24"/>
      <c r="AS1265" s="24"/>
      <c r="AT1265" s="24"/>
      <c r="AU1265" s="24"/>
      <c r="AV1265" s="24"/>
      <c r="AW1265" s="24"/>
      <c r="AX1265" s="24"/>
      <c r="AY1265" s="24"/>
    </row>
    <row r="1266" spans="1:51" x14ac:dyDescent="0.35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  <c r="AA1266" s="24"/>
      <c r="AB1266" s="24"/>
      <c r="AC1266" s="24"/>
      <c r="AD1266" s="24"/>
      <c r="AE1266" s="24"/>
      <c r="AF1266" s="24"/>
      <c r="AG1266" s="24"/>
      <c r="AH1266" s="24"/>
      <c r="AI1266" s="24"/>
      <c r="AJ1266" s="24"/>
      <c r="AK1266" s="24"/>
      <c r="AL1266" s="24"/>
      <c r="AM1266" s="24"/>
      <c r="AN1266" s="24"/>
      <c r="AO1266" s="24"/>
      <c r="AP1266" s="24"/>
      <c r="AQ1266" s="24"/>
      <c r="AR1266" s="24"/>
      <c r="AS1266" s="24"/>
      <c r="AT1266" s="24"/>
      <c r="AU1266" s="24"/>
      <c r="AV1266" s="24"/>
      <c r="AW1266" s="24"/>
      <c r="AX1266" s="24"/>
      <c r="AY1266" s="24"/>
    </row>
    <row r="1267" spans="1:51" x14ac:dyDescent="0.35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  <c r="Y1267" s="24"/>
      <c r="Z1267" s="24"/>
      <c r="AA1267" s="24"/>
      <c r="AB1267" s="24"/>
      <c r="AC1267" s="24"/>
      <c r="AD1267" s="24"/>
      <c r="AE1267" s="24"/>
      <c r="AF1267" s="24"/>
      <c r="AG1267" s="24"/>
      <c r="AH1267" s="24"/>
      <c r="AI1267" s="24"/>
      <c r="AJ1267" s="24"/>
      <c r="AK1267" s="24"/>
      <c r="AL1267" s="24"/>
      <c r="AM1267" s="24"/>
      <c r="AN1267" s="24"/>
      <c r="AO1267" s="24"/>
      <c r="AP1267" s="24"/>
      <c r="AQ1267" s="24"/>
      <c r="AR1267" s="24"/>
      <c r="AS1267" s="24"/>
      <c r="AT1267" s="24"/>
      <c r="AU1267" s="24"/>
      <c r="AV1267" s="24"/>
      <c r="AW1267" s="24"/>
      <c r="AX1267" s="24"/>
      <c r="AY1267" s="24"/>
    </row>
    <row r="1268" spans="1:51" x14ac:dyDescent="0.35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  <c r="Y1268" s="24"/>
      <c r="Z1268" s="24"/>
      <c r="AA1268" s="24"/>
      <c r="AB1268" s="24"/>
      <c r="AC1268" s="24"/>
      <c r="AD1268" s="24"/>
      <c r="AE1268" s="24"/>
      <c r="AF1268" s="24"/>
      <c r="AG1268" s="24"/>
      <c r="AH1268" s="24"/>
      <c r="AI1268" s="24"/>
      <c r="AJ1268" s="24"/>
      <c r="AK1268" s="24"/>
      <c r="AL1268" s="24"/>
      <c r="AM1268" s="24"/>
      <c r="AN1268" s="24"/>
      <c r="AO1268" s="24"/>
      <c r="AP1268" s="24"/>
      <c r="AQ1268" s="24"/>
      <c r="AR1268" s="24"/>
      <c r="AS1268" s="24"/>
      <c r="AT1268" s="24"/>
      <c r="AU1268" s="24"/>
      <c r="AV1268" s="24"/>
      <c r="AW1268" s="24"/>
      <c r="AX1268" s="24"/>
      <c r="AY1268" s="24"/>
    </row>
    <row r="1269" spans="1:51" x14ac:dyDescent="0.35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  <c r="AA1269" s="24"/>
      <c r="AB1269" s="24"/>
      <c r="AC1269" s="24"/>
      <c r="AD1269" s="24"/>
      <c r="AE1269" s="24"/>
      <c r="AF1269" s="24"/>
      <c r="AG1269" s="24"/>
      <c r="AH1269" s="24"/>
      <c r="AI1269" s="24"/>
      <c r="AJ1269" s="24"/>
      <c r="AK1269" s="24"/>
      <c r="AL1269" s="24"/>
      <c r="AM1269" s="24"/>
      <c r="AN1269" s="24"/>
      <c r="AO1269" s="24"/>
      <c r="AP1269" s="24"/>
      <c r="AQ1269" s="24"/>
      <c r="AR1269" s="24"/>
      <c r="AS1269" s="24"/>
      <c r="AT1269" s="24"/>
      <c r="AU1269" s="24"/>
      <c r="AV1269" s="24"/>
      <c r="AW1269" s="24"/>
      <c r="AX1269" s="24"/>
      <c r="AY1269" s="24"/>
    </row>
    <row r="1270" spans="1:51" x14ac:dyDescent="0.35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  <c r="AA1270" s="24"/>
      <c r="AB1270" s="24"/>
      <c r="AC1270" s="24"/>
      <c r="AD1270" s="24"/>
      <c r="AE1270" s="24"/>
      <c r="AF1270" s="24"/>
      <c r="AG1270" s="24"/>
      <c r="AH1270" s="24"/>
      <c r="AI1270" s="24"/>
      <c r="AJ1270" s="24"/>
      <c r="AK1270" s="24"/>
      <c r="AL1270" s="24"/>
      <c r="AM1270" s="24"/>
      <c r="AN1270" s="24"/>
      <c r="AO1270" s="24"/>
      <c r="AP1270" s="24"/>
      <c r="AQ1270" s="24"/>
      <c r="AR1270" s="24"/>
      <c r="AS1270" s="24"/>
      <c r="AT1270" s="24"/>
      <c r="AU1270" s="24"/>
      <c r="AV1270" s="24"/>
      <c r="AW1270" s="24"/>
      <c r="AX1270" s="24"/>
      <c r="AY1270" s="24"/>
    </row>
    <row r="1271" spans="1:51" x14ac:dyDescent="0.35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  <c r="Y1271" s="24"/>
      <c r="Z1271" s="24"/>
      <c r="AA1271" s="24"/>
      <c r="AB1271" s="24"/>
      <c r="AC1271" s="24"/>
      <c r="AD1271" s="24"/>
      <c r="AE1271" s="24"/>
      <c r="AF1271" s="24"/>
      <c r="AG1271" s="24"/>
      <c r="AH1271" s="24"/>
      <c r="AI1271" s="24"/>
      <c r="AJ1271" s="24"/>
      <c r="AK1271" s="24"/>
      <c r="AL1271" s="24"/>
      <c r="AM1271" s="24"/>
      <c r="AN1271" s="24"/>
      <c r="AO1271" s="24"/>
      <c r="AP1271" s="24"/>
      <c r="AQ1271" s="24"/>
      <c r="AR1271" s="24"/>
      <c r="AS1271" s="24"/>
      <c r="AT1271" s="24"/>
      <c r="AU1271" s="24"/>
      <c r="AV1271" s="24"/>
      <c r="AW1271" s="24"/>
      <c r="AX1271" s="24"/>
      <c r="AY1271" s="24"/>
    </row>
    <row r="1272" spans="1:51" x14ac:dyDescent="0.35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  <c r="AA1272" s="24"/>
      <c r="AB1272" s="24"/>
      <c r="AC1272" s="24"/>
      <c r="AD1272" s="24"/>
      <c r="AE1272" s="24"/>
      <c r="AF1272" s="24"/>
      <c r="AG1272" s="24"/>
      <c r="AH1272" s="24"/>
      <c r="AI1272" s="24"/>
      <c r="AJ1272" s="24"/>
      <c r="AK1272" s="24"/>
      <c r="AL1272" s="24"/>
      <c r="AM1272" s="24"/>
      <c r="AN1272" s="24"/>
      <c r="AO1272" s="24"/>
      <c r="AP1272" s="24"/>
      <c r="AQ1272" s="24"/>
      <c r="AR1272" s="24"/>
      <c r="AS1272" s="24"/>
      <c r="AT1272" s="24"/>
      <c r="AU1272" s="24"/>
      <c r="AV1272" s="24"/>
      <c r="AW1272" s="24"/>
      <c r="AX1272" s="24"/>
      <c r="AY1272" s="24"/>
    </row>
    <row r="1273" spans="1:51" x14ac:dyDescent="0.35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  <c r="AA1273" s="24"/>
      <c r="AB1273" s="24"/>
      <c r="AC1273" s="24"/>
      <c r="AD1273" s="24"/>
      <c r="AE1273" s="24"/>
      <c r="AF1273" s="24"/>
      <c r="AG1273" s="24"/>
      <c r="AH1273" s="24"/>
      <c r="AI1273" s="24"/>
      <c r="AJ1273" s="24"/>
      <c r="AK1273" s="24"/>
      <c r="AL1273" s="24"/>
      <c r="AM1273" s="24"/>
      <c r="AN1273" s="24"/>
      <c r="AO1273" s="24"/>
      <c r="AP1273" s="24"/>
      <c r="AQ1273" s="24"/>
      <c r="AR1273" s="24"/>
      <c r="AS1273" s="24"/>
      <c r="AT1273" s="24"/>
      <c r="AU1273" s="24"/>
      <c r="AV1273" s="24"/>
      <c r="AW1273" s="24"/>
      <c r="AX1273" s="24"/>
      <c r="AY1273" s="24"/>
    </row>
    <row r="1274" spans="1:51" x14ac:dyDescent="0.35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  <c r="Y1274" s="24"/>
      <c r="Z1274" s="24"/>
      <c r="AA1274" s="24"/>
      <c r="AB1274" s="24"/>
      <c r="AC1274" s="24"/>
      <c r="AD1274" s="24"/>
      <c r="AE1274" s="24"/>
      <c r="AF1274" s="24"/>
      <c r="AG1274" s="24"/>
      <c r="AH1274" s="24"/>
      <c r="AI1274" s="24"/>
      <c r="AJ1274" s="24"/>
      <c r="AK1274" s="24"/>
      <c r="AL1274" s="24"/>
      <c r="AM1274" s="24"/>
      <c r="AN1274" s="24"/>
      <c r="AO1274" s="24"/>
      <c r="AP1274" s="24"/>
      <c r="AQ1274" s="24"/>
      <c r="AR1274" s="24"/>
      <c r="AS1274" s="24"/>
      <c r="AT1274" s="24"/>
      <c r="AU1274" s="24"/>
      <c r="AV1274" s="24"/>
      <c r="AW1274" s="24"/>
      <c r="AX1274" s="24"/>
      <c r="AY1274" s="24"/>
    </row>
    <row r="1275" spans="1:51" x14ac:dyDescent="0.35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  <c r="Y1275" s="24"/>
      <c r="Z1275" s="24"/>
      <c r="AA1275" s="24"/>
      <c r="AB1275" s="24"/>
      <c r="AC1275" s="24"/>
      <c r="AD1275" s="24"/>
      <c r="AE1275" s="24"/>
      <c r="AF1275" s="24"/>
      <c r="AG1275" s="24"/>
      <c r="AH1275" s="24"/>
      <c r="AI1275" s="24"/>
      <c r="AJ1275" s="24"/>
      <c r="AK1275" s="24"/>
      <c r="AL1275" s="24"/>
      <c r="AM1275" s="24"/>
      <c r="AN1275" s="24"/>
      <c r="AO1275" s="24"/>
      <c r="AP1275" s="24"/>
      <c r="AQ1275" s="24"/>
      <c r="AR1275" s="24"/>
      <c r="AS1275" s="24"/>
      <c r="AT1275" s="24"/>
      <c r="AU1275" s="24"/>
      <c r="AV1275" s="24"/>
      <c r="AW1275" s="24"/>
      <c r="AX1275" s="24"/>
      <c r="AY1275" s="24"/>
    </row>
    <row r="1276" spans="1:51" x14ac:dyDescent="0.35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  <c r="Y1276" s="24"/>
      <c r="Z1276" s="24"/>
      <c r="AA1276" s="24"/>
      <c r="AB1276" s="24"/>
      <c r="AC1276" s="24"/>
      <c r="AD1276" s="24"/>
      <c r="AE1276" s="24"/>
      <c r="AF1276" s="24"/>
      <c r="AG1276" s="24"/>
      <c r="AH1276" s="24"/>
      <c r="AI1276" s="24"/>
      <c r="AJ1276" s="24"/>
      <c r="AK1276" s="24"/>
      <c r="AL1276" s="24"/>
      <c r="AM1276" s="24"/>
      <c r="AN1276" s="24"/>
      <c r="AO1276" s="24"/>
      <c r="AP1276" s="24"/>
      <c r="AQ1276" s="24"/>
      <c r="AR1276" s="24"/>
      <c r="AS1276" s="24"/>
      <c r="AT1276" s="24"/>
      <c r="AU1276" s="24"/>
      <c r="AV1276" s="24"/>
      <c r="AW1276" s="24"/>
      <c r="AX1276" s="24"/>
      <c r="AY1276" s="24"/>
    </row>
    <row r="1277" spans="1:51" x14ac:dyDescent="0.35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  <c r="AC1277" s="24"/>
      <c r="AD1277" s="24"/>
      <c r="AE1277" s="24"/>
      <c r="AF1277" s="24"/>
      <c r="AG1277" s="24"/>
      <c r="AH1277" s="24"/>
      <c r="AI1277" s="24"/>
      <c r="AJ1277" s="24"/>
      <c r="AK1277" s="24"/>
      <c r="AL1277" s="24"/>
      <c r="AM1277" s="24"/>
      <c r="AN1277" s="24"/>
      <c r="AO1277" s="24"/>
      <c r="AP1277" s="24"/>
      <c r="AQ1277" s="24"/>
      <c r="AR1277" s="24"/>
      <c r="AS1277" s="24"/>
      <c r="AT1277" s="24"/>
      <c r="AU1277" s="24"/>
      <c r="AV1277" s="24"/>
      <c r="AW1277" s="24"/>
      <c r="AX1277" s="24"/>
      <c r="AY1277" s="24"/>
    </row>
    <row r="1278" spans="1:51" x14ac:dyDescent="0.35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  <c r="AA1278" s="24"/>
      <c r="AB1278" s="24"/>
      <c r="AC1278" s="24"/>
      <c r="AD1278" s="24"/>
      <c r="AE1278" s="24"/>
      <c r="AF1278" s="24"/>
      <c r="AG1278" s="24"/>
      <c r="AH1278" s="24"/>
      <c r="AI1278" s="24"/>
      <c r="AJ1278" s="24"/>
      <c r="AK1278" s="24"/>
      <c r="AL1278" s="24"/>
      <c r="AM1278" s="24"/>
      <c r="AN1278" s="24"/>
      <c r="AO1278" s="24"/>
      <c r="AP1278" s="24"/>
      <c r="AQ1278" s="24"/>
      <c r="AR1278" s="24"/>
      <c r="AS1278" s="24"/>
      <c r="AT1278" s="24"/>
      <c r="AU1278" s="24"/>
      <c r="AV1278" s="24"/>
      <c r="AW1278" s="24"/>
      <c r="AX1278" s="24"/>
      <c r="AY1278" s="24"/>
    </row>
    <row r="1279" spans="1:51" x14ac:dyDescent="0.35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  <c r="AA1279" s="24"/>
      <c r="AB1279" s="24"/>
      <c r="AC1279" s="24"/>
      <c r="AD1279" s="24"/>
      <c r="AE1279" s="24"/>
      <c r="AF1279" s="24"/>
      <c r="AG1279" s="24"/>
      <c r="AH1279" s="24"/>
      <c r="AI1279" s="24"/>
      <c r="AJ1279" s="24"/>
      <c r="AK1279" s="24"/>
      <c r="AL1279" s="24"/>
      <c r="AM1279" s="24"/>
      <c r="AN1279" s="24"/>
      <c r="AO1279" s="24"/>
      <c r="AP1279" s="24"/>
      <c r="AQ1279" s="24"/>
      <c r="AR1279" s="24"/>
      <c r="AS1279" s="24"/>
      <c r="AT1279" s="24"/>
      <c r="AU1279" s="24"/>
      <c r="AV1279" s="24"/>
      <c r="AW1279" s="24"/>
      <c r="AX1279" s="24"/>
      <c r="AY1279" s="24"/>
    </row>
    <row r="1280" spans="1:51" x14ac:dyDescent="0.35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  <c r="Y1280" s="24"/>
      <c r="Z1280" s="24"/>
      <c r="AA1280" s="24"/>
      <c r="AB1280" s="24"/>
      <c r="AC1280" s="24"/>
      <c r="AD1280" s="24"/>
      <c r="AE1280" s="24"/>
      <c r="AF1280" s="24"/>
      <c r="AG1280" s="24"/>
      <c r="AH1280" s="24"/>
      <c r="AI1280" s="24"/>
      <c r="AJ1280" s="24"/>
      <c r="AK1280" s="24"/>
      <c r="AL1280" s="24"/>
      <c r="AM1280" s="24"/>
      <c r="AN1280" s="24"/>
      <c r="AO1280" s="24"/>
      <c r="AP1280" s="24"/>
      <c r="AQ1280" s="24"/>
      <c r="AR1280" s="24"/>
      <c r="AS1280" s="24"/>
      <c r="AT1280" s="24"/>
      <c r="AU1280" s="24"/>
      <c r="AV1280" s="24"/>
      <c r="AW1280" s="24"/>
      <c r="AX1280" s="24"/>
      <c r="AY1280" s="24"/>
    </row>
    <row r="1281" spans="1:51" x14ac:dyDescent="0.35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  <c r="Y1281" s="24"/>
      <c r="Z1281" s="24"/>
      <c r="AA1281" s="24"/>
      <c r="AB1281" s="24"/>
      <c r="AC1281" s="24"/>
      <c r="AD1281" s="24"/>
      <c r="AE1281" s="24"/>
      <c r="AF1281" s="24"/>
      <c r="AG1281" s="24"/>
      <c r="AH1281" s="24"/>
      <c r="AI1281" s="24"/>
      <c r="AJ1281" s="24"/>
      <c r="AK1281" s="24"/>
      <c r="AL1281" s="24"/>
      <c r="AM1281" s="24"/>
      <c r="AN1281" s="24"/>
      <c r="AO1281" s="24"/>
      <c r="AP1281" s="24"/>
      <c r="AQ1281" s="24"/>
      <c r="AR1281" s="24"/>
      <c r="AS1281" s="24"/>
      <c r="AT1281" s="24"/>
      <c r="AU1281" s="24"/>
      <c r="AV1281" s="24"/>
      <c r="AW1281" s="24"/>
      <c r="AX1281" s="24"/>
      <c r="AY1281" s="24"/>
    </row>
    <row r="1282" spans="1:51" x14ac:dyDescent="0.35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24"/>
      <c r="Z1282" s="24"/>
      <c r="AA1282" s="24"/>
      <c r="AB1282" s="24"/>
      <c r="AC1282" s="24"/>
      <c r="AD1282" s="24"/>
      <c r="AE1282" s="24"/>
      <c r="AF1282" s="24"/>
      <c r="AG1282" s="24"/>
      <c r="AH1282" s="24"/>
      <c r="AI1282" s="24"/>
      <c r="AJ1282" s="24"/>
      <c r="AK1282" s="24"/>
      <c r="AL1282" s="24"/>
      <c r="AM1282" s="24"/>
      <c r="AN1282" s="24"/>
      <c r="AO1282" s="24"/>
      <c r="AP1282" s="24"/>
      <c r="AQ1282" s="24"/>
      <c r="AR1282" s="24"/>
      <c r="AS1282" s="24"/>
      <c r="AT1282" s="24"/>
      <c r="AU1282" s="24"/>
      <c r="AV1282" s="24"/>
      <c r="AW1282" s="24"/>
      <c r="AX1282" s="24"/>
      <c r="AY1282" s="24"/>
    </row>
    <row r="1283" spans="1:51" x14ac:dyDescent="0.35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  <c r="Y1283" s="24"/>
      <c r="Z1283" s="24"/>
      <c r="AA1283" s="24"/>
      <c r="AB1283" s="24"/>
      <c r="AC1283" s="24"/>
      <c r="AD1283" s="24"/>
      <c r="AE1283" s="24"/>
      <c r="AF1283" s="24"/>
      <c r="AG1283" s="24"/>
      <c r="AH1283" s="24"/>
      <c r="AI1283" s="24"/>
      <c r="AJ1283" s="24"/>
      <c r="AK1283" s="24"/>
      <c r="AL1283" s="24"/>
      <c r="AM1283" s="24"/>
      <c r="AN1283" s="24"/>
      <c r="AO1283" s="24"/>
      <c r="AP1283" s="24"/>
      <c r="AQ1283" s="24"/>
      <c r="AR1283" s="24"/>
      <c r="AS1283" s="24"/>
      <c r="AT1283" s="24"/>
      <c r="AU1283" s="24"/>
      <c r="AV1283" s="24"/>
      <c r="AW1283" s="24"/>
      <c r="AX1283" s="24"/>
      <c r="AY1283" s="24"/>
    </row>
    <row r="1284" spans="1:51" x14ac:dyDescent="0.35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  <c r="Y1284" s="24"/>
      <c r="Z1284" s="24"/>
      <c r="AA1284" s="24"/>
      <c r="AB1284" s="24"/>
      <c r="AC1284" s="24"/>
      <c r="AD1284" s="24"/>
      <c r="AE1284" s="24"/>
      <c r="AF1284" s="24"/>
      <c r="AG1284" s="24"/>
      <c r="AH1284" s="24"/>
      <c r="AI1284" s="24"/>
      <c r="AJ1284" s="24"/>
      <c r="AK1284" s="24"/>
      <c r="AL1284" s="24"/>
      <c r="AM1284" s="24"/>
      <c r="AN1284" s="24"/>
      <c r="AO1284" s="24"/>
      <c r="AP1284" s="24"/>
      <c r="AQ1284" s="24"/>
      <c r="AR1284" s="24"/>
      <c r="AS1284" s="24"/>
      <c r="AT1284" s="24"/>
      <c r="AU1284" s="24"/>
      <c r="AV1284" s="24"/>
      <c r="AW1284" s="24"/>
      <c r="AX1284" s="24"/>
      <c r="AY1284" s="24"/>
    </row>
    <row r="1285" spans="1:51" x14ac:dyDescent="0.35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  <c r="AA1285" s="24"/>
      <c r="AB1285" s="24"/>
      <c r="AC1285" s="24"/>
      <c r="AD1285" s="24"/>
      <c r="AE1285" s="24"/>
      <c r="AF1285" s="24"/>
      <c r="AG1285" s="24"/>
      <c r="AH1285" s="24"/>
      <c r="AI1285" s="24"/>
      <c r="AJ1285" s="24"/>
      <c r="AK1285" s="24"/>
      <c r="AL1285" s="24"/>
      <c r="AM1285" s="24"/>
      <c r="AN1285" s="24"/>
      <c r="AO1285" s="24"/>
      <c r="AP1285" s="24"/>
      <c r="AQ1285" s="24"/>
      <c r="AR1285" s="24"/>
      <c r="AS1285" s="24"/>
      <c r="AT1285" s="24"/>
      <c r="AU1285" s="24"/>
      <c r="AV1285" s="24"/>
      <c r="AW1285" s="24"/>
      <c r="AX1285" s="24"/>
      <c r="AY1285" s="24"/>
    </row>
    <row r="1286" spans="1:51" x14ac:dyDescent="0.35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  <c r="AA1286" s="24"/>
      <c r="AB1286" s="24"/>
      <c r="AC1286" s="24"/>
      <c r="AD1286" s="24"/>
      <c r="AE1286" s="24"/>
      <c r="AF1286" s="24"/>
      <c r="AG1286" s="24"/>
      <c r="AH1286" s="24"/>
      <c r="AI1286" s="24"/>
      <c r="AJ1286" s="24"/>
      <c r="AK1286" s="24"/>
      <c r="AL1286" s="24"/>
      <c r="AM1286" s="24"/>
      <c r="AN1286" s="24"/>
      <c r="AO1286" s="24"/>
      <c r="AP1286" s="24"/>
      <c r="AQ1286" s="24"/>
      <c r="AR1286" s="24"/>
      <c r="AS1286" s="24"/>
      <c r="AT1286" s="24"/>
      <c r="AU1286" s="24"/>
      <c r="AV1286" s="24"/>
      <c r="AW1286" s="24"/>
      <c r="AX1286" s="24"/>
      <c r="AY1286" s="24"/>
    </row>
    <row r="1287" spans="1:51" x14ac:dyDescent="0.35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  <c r="AA1287" s="24"/>
      <c r="AB1287" s="24"/>
      <c r="AC1287" s="24"/>
      <c r="AD1287" s="24"/>
      <c r="AE1287" s="24"/>
      <c r="AF1287" s="24"/>
      <c r="AG1287" s="24"/>
      <c r="AH1287" s="24"/>
      <c r="AI1287" s="24"/>
      <c r="AJ1287" s="24"/>
      <c r="AK1287" s="24"/>
      <c r="AL1287" s="24"/>
      <c r="AM1287" s="24"/>
      <c r="AN1287" s="24"/>
      <c r="AO1287" s="24"/>
      <c r="AP1287" s="24"/>
      <c r="AQ1287" s="24"/>
      <c r="AR1287" s="24"/>
      <c r="AS1287" s="24"/>
      <c r="AT1287" s="24"/>
      <c r="AU1287" s="24"/>
      <c r="AV1287" s="24"/>
      <c r="AW1287" s="24"/>
      <c r="AX1287" s="24"/>
      <c r="AY1287" s="24"/>
    </row>
    <row r="1288" spans="1:51" x14ac:dyDescent="0.35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  <c r="Y1288" s="24"/>
      <c r="Z1288" s="24"/>
      <c r="AA1288" s="24"/>
      <c r="AB1288" s="24"/>
      <c r="AC1288" s="24"/>
      <c r="AD1288" s="24"/>
      <c r="AE1288" s="24"/>
      <c r="AF1288" s="24"/>
      <c r="AG1288" s="24"/>
      <c r="AH1288" s="24"/>
      <c r="AI1288" s="24"/>
      <c r="AJ1288" s="24"/>
      <c r="AK1288" s="24"/>
      <c r="AL1288" s="24"/>
      <c r="AM1288" s="24"/>
      <c r="AN1288" s="24"/>
      <c r="AO1288" s="24"/>
      <c r="AP1288" s="24"/>
      <c r="AQ1288" s="24"/>
      <c r="AR1288" s="24"/>
      <c r="AS1288" s="24"/>
      <c r="AT1288" s="24"/>
      <c r="AU1288" s="24"/>
      <c r="AV1288" s="24"/>
      <c r="AW1288" s="24"/>
      <c r="AX1288" s="24"/>
      <c r="AY1288" s="24"/>
    </row>
    <row r="1289" spans="1:51" x14ac:dyDescent="0.35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/>
      <c r="AA1289" s="24"/>
      <c r="AB1289" s="24"/>
      <c r="AC1289" s="24"/>
      <c r="AD1289" s="24"/>
      <c r="AE1289" s="24"/>
      <c r="AF1289" s="24"/>
      <c r="AG1289" s="24"/>
      <c r="AH1289" s="24"/>
      <c r="AI1289" s="24"/>
      <c r="AJ1289" s="24"/>
      <c r="AK1289" s="24"/>
      <c r="AL1289" s="24"/>
      <c r="AM1289" s="24"/>
      <c r="AN1289" s="24"/>
      <c r="AO1289" s="24"/>
      <c r="AP1289" s="24"/>
      <c r="AQ1289" s="24"/>
      <c r="AR1289" s="24"/>
      <c r="AS1289" s="24"/>
      <c r="AT1289" s="24"/>
      <c r="AU1289" s="24"/>
      <c r="AV1289" s="24"/>
      <c r="AW1289" s="24"/>
      <c r="AX1289" s="24"/>
      <c r="AY1289" s="24"/>
    </row>
    <row r="1290" spans="1:51" x14ac:dyDescent="0.35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  <c r="AA1290" s="24"/>
      <c r="AB1290" s="24"/>
      <c r="AC1290" s="24"/>
      <c r="AD1290" s="24"/>
      <c r="AE1290" s="24"/>
      <c r="AF1290" s="24"/>
      <c r="AG1290" s="24"/>
      <c r="AH1290" s="24"/>
      <c r="AI1290" s="24"/>
      <c r="AJ1290" s="24"/>
      <c r="AK1290" s="24"/>
      <c r="AL1290" s="24"/>
      <c r="AM1290" s="24"/>
      <c r="AN1290" s="24"/>
      <c r="AO1290" s="24"/>
      <c r="AP1290" s="24"/>
      <c r="AQ1290" s="24"/>
      <c r="AR1290" s="24"/>
      <c r="AS1290" s="24"/>
      <c r="AT1290" s="24"/>
      <c r="AU1290" s="24"/>
      <c r="AV1290" s="24"/>
      <c r="AW1290" s="24"/>
      <c r="AX1290" s="24"/>
      <c r="AY1290" s="24"/>
    </row>
    <row r="1291" spans="1:51" x14ac:dyDescent="0.35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  <c r="AA1291" s="24"/>
      <c r="AB1291" s="24"/>
      <c r="AC1291" s="24"/>
      <c r="AD1291" s="24"/>
      <c r="AE1291" s="24"/>
      <c r="AF1291" s="24"/>
      <c r="AG1291" s="24"/>
      <c r="AH1291" s="24"/>
      <c r="AI1291" s="24"/>
      <c r="AJ1291" s="24"/>
      <c r="AK1291" s="24"/>
      <c r="AL1291" s="24"/>
      <c r="AM1291" s="24"/>
      <c r="AN1291" s="24"/>
      <c r="AO1291" s="24"/>
      <c r="AP1291" s="24"/>
      <c r="AQ1291" s="24"/>
      <c r="AR1291" s="24"/>
      <c r="AS1291" s="24"/>
      <c r="AT1291" s="24"/>
      <c r="AU1291" s="24"/>
      <c r="AV1291" s="24"/>
      <c r="AW1291" s="24"/>
      <c r="AX1291" s="24"/>
      <c r="AY1291" s="24"/>
    </row>
    <row r="1292" spans="1:51" x14ac:dyDescent="0.35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  <c r="Y1292" s="24"/>
      <c r="Z1292" s="24"/>
      <c r="AA1292" s="24"/>
      <c r="AB1292" s="24"/>
      <c r="AC1292" s="24"/>
      <c r="AD1292" s="24"/>
      <c r="AE1292" s="24"/>
      <c r="AF1292" s="24"/>
      <c r="AG1292" s="24"/>
      <c r="AH1292" s="24"/>
      <c r="AI1292" s="24"/>
      <c r="AJ1292" s="24"/>
      <c r="AK1292" s="24"/>
      <c r="AL1292" s="24"/>
      <c r="AM1292" s="24"/>
      <c r="AN1292" s="24"/>
      <c r="AO1292" s="24"/>
      <c r="AP1292" s="24"/>
      <c r="AQ1292" s="24"/>
      <c r="AR1292" s="24"/>
      <c r="AS1292" s="24"/>
      <c r="AT1292" s="24"/>
      <c r="AU1292" s="24"/>
      <c r="AV1292" s="24"/>
      <c r="AW1292" s="24"/>
      <c r="AX1292" s="24"/>
      <c r="AY1292" s="24"/>
    </row>
    <row r="1293" spans="1:51" x14ac:dyDescent="0.35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  <c r="Y1293" s="24"/>
      <c r="Z1293" s="24"/>
      <c r="AA1293" s="24"/>
      <c r="AB1293" s="24"/>
      <c r="AC1293" s="24"/>
      <c r="AD1293" s="24"/>
      <c r="AE1293" s="24"/>
      <c r="AF1293" s="24"/>
      <c r="AG1293" s="24"/>
      <c r="AH1293" s="24"/>
      <c r="AI1293" s="24"/>
      <c r="AJ1293" s="24"/>
      <c r="AK1293" s="24"/>
      <c r="AL1293" s="24"/>
      <c r="AM1293" s="24"/>
      <c r="AN1293" s="24"/>
      <c r="AO1293" s="24"/>
      <c r="AP1293" s="24"/>
      <c r="AQ1293" s="24"/>
      <c r="AR1293" s="24"/>
      <c r="AS1293" s="24"/>
      <c r="AT1293" s="24"/>
      <c r="AU1293" s="24"/>
      <c r="AV1293" s="24"/>
      <c r="AW1293" s="24"/>
      <c r="AX1293" s="24"/>
      <c r="AY1293" s="24"/>
    </row>
    <row r="1294" spans="1:51" x14ac:dyDescent="0.35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  <c r="AA1294" s="24"/>
      <c r="AB1294" s="24"/>
      <c r="AC1294" s="24"/>
      <c r="AD1294" s="24"/>
      <c r="AE1294" s="24"/>
      <c r="AF1294" s="24"/>
      <c r="AG1294" s="24"/>
      <c r="AH1294" s="24"/>
      <c r="AI1294" s="24"/>
      <c r="AJ1294" s="24"/>
      <c r="AK1294" s="24"/>
      <c r="AL1294" s="24"/>
      <c r="AM1294" s="24"/>
      <c r="AN1294" s="24"/>
      <c r="AO1294" s="24"/>
      <c r="AP1294" s="24"/>
      <c r="AQ1294" s="24"/>
      <c r="AR1294" s="24"/>
      <c r="AS1294" s="24"/>
      <c r="AT1294" s="24"/>
      <c r="AU1294" s="24"/>
      <c r="AV1294" s="24"/>
      <c r="AW1294" s="24"/>
      <c r="AX1294" s="24"/>
      <c r="AY1294" s="24"/>
    </row>
    <row r="1295" spans="1:51" x14ac:dyDescent="0.35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  <c r="Y1295" s="24"/>
      <c r="Z1295" s="24"/>
      <c r="AA1295" s="24"/>
      <c r="AB1295" s="24"/>
      <c r="AC1295" s="24"/>
      <c r="AD1295" s="24"/>
      <c r="AE1295" s="24"/>
      <c r="AF1295" s="24"/>
      <c r="AG1295" s="24"/>
      <c r="AH1295" s="24"/>
      <c r="AI1295" s="24"/>
      <c r="AJ1295" s="24"/>
      <c r="AK1295" s="24"/>
      <c r="AL1295" s="24"/>
      <c r="AM1295" s="24"/>
      <c r="AN1295" s="24"/>
      <c r="AO1295" s="24"/>
      <c r="AP1295" s="24"/>
      <c r="AQ1295" s="24"/>
      <c r="AR1295" s="24"/>
      <c r="AS1295" s="24"/>
      <c r="AT1295" s="24"/>
      <c r="AU1295" s="24"/>
      <c r="AV1295" s="24"/>
      <c r="AW1295" s="24"/>
      <c r="AX1295" s="24"/>
      <c r="AY1295" s="24"/>
    </row>
    <row r="1296" spans="1:51" x14ac:dyDescent="0.35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  <c r="Y1296" s="24"/>
      <c r="Z1296" s="24"/>
      <c r="AA1296" s="24"/>
      <c r="AB1296" s="24"/>
      <c r="AC1296" s="24"/>
      <c r="AD1296" s="24"/>
      <c r="AE1296" s="24"/>
      <c r="AF1296" s="24"/>
      <c r="AG1296" s="24"/>
      <c r="AH1296" s="24"/>
      <c r="AI1296" s="24"/>
      <c r="AJ1296" s="24"/>
      <c r="AK1296" s="24"/>
      <c r="AL1296" s="24"/>
      <c r="AM1296" s="24"/>
      <c r="AN1296" s="24"/>
      <c r="AO1296" s="24"/>
      <c r="AP1296" s="24"/>
      <c r="AQ1296" s="24"/>
      <c r="AR1296" s="24"/>
      <c r="AS1296" s="24"/>
      <c r="AT1296" s="24"/>
      <c r="AU1296" s="24"/>
      <c r="AV1296" s="24"/>
      <c r="AW1296" s="24"/>
      <c r="AX1296" s="24"/>
      <c r="AY1296" s="24"/>
    </row>
    <row r="1297" spans="1:51" x14ac:dyDescent="0.35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  <c r="AA1297" s="24"/>
      <c r="AB1297" s="24"/>
      <c r="AC1297" s="24"/>
      <c r="AD1297" s="24"/>
      <c r="AE1297" s="24"/>
      <c r="AF1297" s="24"/>
      <c r="AG1297" s="24"/>
      <c r="AH1297" s="24"/>
      <c r="AI1297" s="24"/>
      <c r="AJ1297" s="24"/>
      <c r="AK1297" s="24"/>
      <c r="AL1297" s="24"/>
      <c r="AM1297" s="24"/>
      <c r="AN1297" s="24"/>
      <c r="AO1297" s="24"/>
      <c r="AP1297" s="24"/>
      <c r="AQ1297" s="24"/>
      <c r="AR1297" s="24"/>
      <c r="AS1297" s="24"/>
      <c r="AT1297" s="24"/>
      <c r="AU1297" s="24"/>
      <c r="AV1297" s="24"/>
      <c r="AW1297" s="24"/>
      <c r="AX1297" s="24"/>
      <c r="AY1297" s="24"/>
    </row>
    <row r="1298" spans="1:51" x14ac:dyDescent="0.35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  <c r="Y1298" s="24"/>
      <c r="Z1298" s="24"/>
      <c r="AA1298" s="24"/>
      <c r="AB1298" s="24"/>
      <c r="AC1298" s="24"/>
      <c r="AD1298" s="24"/>
      <c r="AE1298" s="24"/>
      <c r="AF1298" s="24"/>
      <c r="AG1298" s="24"/>
      <c r="AH1298" s="24"/>
      <c r="AI1298" s="24"/>
      <c r="AJ1298" s="24"/>
      <c r="AK1298" s="24"/>
      <c r="AL1298" s="24"/>
      <c r="AM1298" s="24"/>
      <c r="AN1298" s="24"/>
      <c r="AO1298" s="24"/>
      <c r="AP1298" s="24"/>
      <c r="AQ1298" s="24"/>
      <c r="AR1298" s="24"/>
      <c r="AS1298" s="24"/>
      <c r="AT1298" s="24"/>
      <c r="AU1298" s="24"/>
      <c r="AV1298" s="24"/>
      <c r="AW1298" s="24"/>
      <c r="AX1298" s="24"/>
      <c r="AY1298" s="24"/>
    </row>
    <row r="1299" spans="1:51" x14ac:dyDescent="0.35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  <c r="Y1299" s="24"/>
      <c r="Z1299" s="24"/>
      <c r="AA1299" s="24"/>
      <c r="AB1299" s="24"/>
      <c r="AC1299" s="24"/>
      <c r="AD1299" s="24"/>
      <c r="AE1299" s="24"/>
      <c r="AF1299" s="24"/>
      <c r="AG1299" s="24"/>
      <c r="AH1299" s="24"/>
      <c r="AI1299" s="24"/>
      <c r="AJ1299" s="24"/>
      <c r="AK1299" s="24"/>
      <c r="AL1299" s="24"/>
      <c r="AM1299" s="24"/>
      <c r="AN1299" s="24"/>
      <c r="AO1299" s="24"/>
      <c r="AP1299" s="24"/>
      <c r="AQ1299" s="24"/>
      <c r="AR1299" s="24"/>
      <c r="AS1299" s="24"/>
      <c r="AT1299" s="24"/>
      <c r="AU1299" s="24"/>
      <c r="AV1299" s="24"/>
      <c r="AW1299" s="24"/>
      <c r="AX1299" s="24"/>
      <c r="AY1299" s="24"/>
    </row>
    <row r="1300" spans="1:51" x14ac:dyDescent="0.35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/>
      <c r="Z1300" s="24"/>
      <c r="AA1300" s="24"/>
      <c r="AB1300" s="24"/>
      <c r="AC1300" s="24"/>
      <c r="AD1300" s="24"/>
      <c r="AE1300" s="24"/>
      <c r="AF1300" s="24"/>
      <c r="AG1300" s="24"/>
      <c r="AH1300" s="24"/>
      <c r="AI1300" s="24"/>
      <c r="AJ1300" s="24"/>
      <c r="AK1300" s="24"/>
      <c r="AL1300" s="24"/>
      <c r="AM1300" s="24"/>
      <c r="AN1300" s="24"/>
      <c r="AO1300" s="24"/>
      <c r="AP1300" s="24"/>
      <c r="AQ1300" s="24"/>
      <c r="AR1300" s="24"/>
      <c r="AS1300" s="24"/>
      <c r="AT1300" s="24"/>
      <c r="AU1300" s="24"/>
      <c r="AV1300" s="24"/>
      <c r="AW1300" s="24"/>
      <c r="AX1300" s="24"/>
      <c r="AY1300" s="24"/>
    </row>
    <row r="1301" spans="1:51" x14ac:dyDescent="0.35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  <c r="Y1301" s="24"/>
      <c r="Z1301" s="24"/>
      <c r="AA1301" s="24"/>
      <c r="AB1301" s="24"/>
      <c r="AC1301" s="24"/>
      <c r="AD1301" s="24"/>
      <c r="AE1301" s="24"/>
      <c r="AF1301" s="24"/>
      <c r="AG1301" s="24"/>
      <c r="AH1301" s="24"/>
      <c r="AI1301" s="24"/>
      <c r="AJ1301" s="24"/>
      <c r="AK1301" s="24"/>
      <c r="AL1301" s="24"/>
      <c r="AM1301" s="24"/>
      <c r="AN1301" s="24"/>
      <c r="AO1301" s="24"/>
      <c r="AP1301" s="24"/>
      <c r="AQ1301" s="24"/>
      <c r="AR1301" s="24"/>
      <c r="AS1301" s="24"/>
      <c r="AT1301" s="24"/>
      <c r="AU1301" s="24"/>
      <c r="AV1301" s="24"/>
      <c r="AW1301" s="24"/>
      <c r="AX1301" s="24"/>
      <c r="AY1301" s="24"/>
    </row>
    <row r="1302" spans="1:51" x14ac:dyDescent="0.35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  <c r="Y1302" s="24"/>
      <c r="Z1302" s="24"/>
      <c r="AA1302" s="24"/>
      <c r="AB1302" s="24"/>
      <c r="AC1302" s="24"/>
      <c r="AD1302" s="24"/>
      <c r="AE1302" s="24"/>
      <c r="AF1302" s="24"/>
      <c r="AG1302" s="24"/>
      <c r="AH1302" s="24"/>
      <c r="AI1302" s="24"/>
      <c r="AJ1302" s="24"/>
      <c r="AK1302" s="24"/>
      <c r="AL1302" s="24"/>
      <c r="AM1302" s="24"/>
      <c r="AN1302" s="24"/>
      <c r="AO1302" s="24"/>
      <c r="AP1302" s="24"/>
      <c r="AQ1302" s="24"/>
      <c r="AR1302" s="24"/>
      <c r="AS1302" s="24"/>
      <c r="AT1302" s="24"/>
      <c r="AU1302" s="24"/>
      <c r="AV1302" s="24"/>
      <c r="AW1302" s="24"/>
      <c r="AX1302" s="24"/>
      <c r="AY1302" s="24"/>
    </row>
    <row r="1303" spans="1:51" x14ac:dyDescent="0.35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  <c r="Y1303" s="24"/>
      <c r="Z1303" s="24"/>
      <c r="AA1303" s="24"/>
      <c r="AB1303" s="24"/>
      <c r="AC1303" s="24"/>
      <c r="AD1303" s="24"/>
      <c r="AE1303" s="24"/>
      <c r="AF1303" s="24"/>
      <c r="AG1303" s="24"/>
      <c r="AH1303" s="24"/>
      <c r="AI1303" s="24"/>
      <c r="AJ1303" s="24"/>
      <c r="AK1303" s="24"/>
      <c r="AL1303" s="24"/>
      <c r="AM1303" s="24"/>
      <c r="AN1303" s="24"/>
      <c r="AO1303" s="24"/>
      <c r="AP1303" s="24"/>
      <c r="AQ1303" s="24"/>
      <c r="AR1303" s="24"/>
      <c r="AS1303" s="24"/>
      <c r="AT1303" s="24"/>
      <c r="AU1303" s="24"/>
      <c r="AV1303" s="24"/>
      <c r="AW1303" s="24"/>
      <c r="AX1303" s="24"/>
      <c r="AY1303" s="24"/>
    </row>
    <row r="1304" spans="1:51" x14ac:dyDescent="0.35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  <c r="AA1304" s="24"/>
      <c r="AB1304" s="24"/>
      <c r="AC1304" s="24"/>
      <c r="AD1304" s="24"/>
      <c r="AE1304" s="24"/>
      <c r="AF1304" s="24"/>
      <c r="AG1304" s="24"/>
      <c r="AH1304" s="24"/>
      <c r="AI1304" s="24"/>
      <c r="AJ1304" s="24"/>
      <c r="AK1304" s="24"/>
      <c r="AL1304" s="24"/>
      <c r="AM1304" s="24"/>
      <c r="AN1304" s="24"/>
      <c r="AO1304" s="24"/>
      <c r="AP1304" s="24"/>
      <c r="AQ1304" s="24"/>
      <c r="AR1304" s="24"/>
      <c r="AS1304" s="24"/>
      <c r="AT1304" s="24"/>
      <c r="AU1304" s="24"/>
      <c r="AV1304" s="24"/>
      <c r="AW1304" s="24"/>
      <c r="AX1304" s="24"/>
      <c r="AY1304" s="24"/>
    </row>
    <row r="1305" spans="1:51" x14ac:dyDescent="0.35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/>
      <c r="AA1305" s="24"/>
      <c r="AB1305" s="24"/>
      <c r="AC1305" s="24"/>
      <c r="AD1305" s="24"/>
      <c r="AE1305" s="24"/>
      <c r="AF1305" s="24"/>
      <c r="AG1305" s="24"/>
      <c r="AH1305" s="24"/>
      <c r="AI1305" s="24"/>
      <c r="AJ1305" s="24"/>
      <c r="AK1305" s="24"/>
      <c r="AL1305" s="24"/>
      <c r="AM1305" s="24"/>
      <c r="AN1305" s="24"/>
      <c r="AO1305" s="24"/>
      <c r="AP1305" s="24"/>
      <c r="AQ1305" s="24"/>
      <c r="AR1305" s="24"/>
      <c r="AS1305" s="24"/>
      <c r="AT1305" s="24"/>
      <c r="AU1305" s="24"/>
      <c r="AV1305" s="24"/>
      <c r="AW1305" s="24"/>
      <c r="AX1305" s="24"/>
      <c r="AY1305" s="24"/>
    </row>
    <row r="1306" spans="1:51" x14ac:dyDescent="0.35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/>
      <c r="AA1306" s="24"/>
      <c r="AB1306" s="24"/>
      <c r="AC1306" s="24"/>
      <c r="AD1306" s="24"/>
      <c r="AE1306" s="24"/>
      <c r="AF1306" s="24"/>
      <c r="AG1306" s="24"/>
      <c r="AH1306" s="24"/>
      <c r="AI1306" s="24"/>
      <c r="AJ1306" s="24"/>
      <c r="AK1306" s="24"/>
      <c r="AL1306" s="24"/>
      <c r="AM1306" s="24"/>
      <c r="AN1306" s="24"/>
      <c r="AO1306" s="24"/>
      <c r="AP1306" s="24"/>
      <c r="AQ1306" s="24"/>
      <c r="AR1306" s="24"/>
      <c r="AS1306" s="24"/>
      <c r="AT1306" s="24"/>
      <c r="AU1306" s="24"/>
      <c r="AV1306" s="24"/>
      <c r="AW1306" s="24"/>
      <c r="AX1306" s="24"/>
      <c r="AY1306" s="24"/>
    </row>
    <row r="1307" spans="1:51" x14ac:dyDescent="0.35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  <c r="Y1307" s="24"/>
      <c r="Z1307" s="24"/>
      <c r="AA1307" s="24"/>
      <c r="AB1307" s="24"/>
      <c r="AC1307" s="24"/>
      <c r="AD1307" s="24"/>
      <c r="AE1307" s="24"/>
      <c r="AF1307" s="24"/>
      <c r="AG1307" s="24"/>
      <c r="AH1307" s="24"/>
      <c r="AI1307" s="24"/>
      <c r="AJ1307" s="24"/>
      <c r="AK1307" s="24"/>
      <c r="AL1307" s="24"/>
      <c r="AM1307" s="24"/>
      <c r="AN1307" s="24"/>
      <c r="AO1307" s="24"/>
      <c r="AP1307" s="24"/>
      <c r="AQ1307" s="24"/>
      <c r="AR1307" s="24"/>
      <c r="AS1307" s="24"/>
      <c r="AT1307" s="24"/>
      <c r="AU1307" s="24"/>
      <c r="AV1307" s="24"/>
      <c r="AW1307" s="24"/>
      <c r="AX1307" s="24"/>
      <c r="AY1307" s="24"/>
    </row>
    <row r="1308" spans="1:51" x14ac:dyDescent="0.35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  <c r="Y1308" s="24"/>
      <c r="Z1308" s="24"/>
      <c r="AA1308" s="24"/>
      <c r="AB1308" s="24"/>
      <c r="AC1308" s="24"/>
      <c r="AD1308" s="24"/>
      <c r="AE1308" s="24"/>
      <c r="AF1308" s="24"/>
      <c r="AG1308" s="24"/>
      <c r="AH1308" s="24"/>
      <c r="AI1308" s="24"/>
      <c r="AJ1308" s="24"/>
      <c r="AK1308" s="24"/>
      <c r="AL1308" s="24"/>
      <c r="AM1308" s="24"/>
      <c r="AN1308" s="24"/>
      <c r="AO1308" s="24"/>
      <c r="AP1308" s="24"/>
      <c r="AQ1308" s="24"/>
      <c r="AR1308" s="24"/>
      <c r="AS1308" s="24"/>
      <c r="AT1308" s="24"/>
      <c r="AU1308" s="24"/>
      <c r="AV1308" s="24"/>
      <c r="AW1308" s="24"/>
      <c r="AX1308" s="24"/>
      <c r="AY1308" s="24"/>
    </row>
    <row r="1309" spans="1:51" x14ac:dyDescent="0.35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  <c r="Y1309" s="24"/>
      <c r="Z1309" s="24"/>
      <c r="AA1309" s="24"/>
      <c r="AB1309" s="24"/>
      <c r="AC1309" s="24"/>
      <c r="AD1309" s="24"/>
      <c r="AE1309" s="24"/>
      <c r="AF1309" s="24"/>
      <c r="AG1309" s="24"/>
      <c r="AH1309" s="24"/>
      <c r="AI1309" s="24"/>
      <c r="AJ1309" s="24"/>
      <c r="AK1309" s="24"/>
      <c r="AL1309" s="24"/>
      <c r="AM1309" s="24"/>
      <c r="AN1309" s="24"/>
      <c r="AO1309" s="24"/>
      <c r="AP1309" s="24"/>
      <c r="AQ1309" s="24"/>
      <c r="AR1309" s="24"/>
      <c r="AS1309" s="24"/>
      <c r="AT1309" s="24"/>
      <c r="AU1309" s="24"/>
      <c r="AV1309" s="24"/>
      <c r="AW1309" s="24"/>
      <c r="AX1309" s="24"/>
      <c r="AY1309" s="24"/>
    </row>
    <row r="1310" spans="1:51" x14ac:dyDescent="0.35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4"/>
      <c r="AD1310" s="24"/>
      <c r="AE1310" s="24"/>
      <c r="AF1310" s="24"/>
      <c r="AG1310" s="24"/>
      <c r="AH1310" s="24"/>
      <c r="AI1310" s="24"/>
      <c r="AJ1310" s="24"/>
      <c r="AK1310" s="24"/>
      <c r="AL1310" s="24"/>
      <c r="AM1310" s="24"/>
      <c r="AN1310" s="24"/>
      <c r="AO1310" s="24"/>
      <c r="AP1310" s="24"/>
      <c r="AQ1310" s="24"/>
      <c r="AR1310" s="24"/>
      <c r="AS1310" s="24"/>
      <c r="AT1310" s="24"/>
      <c r="AU1310" s="24"/>
      <c r="AV1310" s="24"/>
      <c r="AW1310" s="24"/>
      <c r="AX1310" s="24"/>
      <c r="AY1310" s="24"/>
    </row>
    <row r="1311" spans="1:51" x14ac:dyDescent="0.35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  <c r="Y1311" s="24"/>
      <c r="Z1311" s="24"/>
      <c r="AA1311" s="24"/>
      <c r="AB1311" s="24"/>
      <c r="AC1311" s="24"/>
      <c r="AD1311" s="24"/>
      <c r="AE1311" s="24"/>
      <c r="AF1311" s="24"/>
      <c r="AG1311" s="24"/>
      <c r="AH1311" s="24"/>
      <c r="AI1311" s="24"/>
      <c r="AJ1311" s="24"/>
      <c r="AK1311" s="24"/>
      <c r="AL1311" s="24"/>
      <c r="AM1311" s="24"/>
      <c r="AN1311" s="24"/>
      <c r="AO1311" s="24"/>
      <c r="AP1311" s="24"/>
      <c r="AQ1311" s="24"/>
      <c r="AR1311" s="24"/>
      <c r="AS1311" s="24"/>
      <c r="AT1311" s="24"/>
      <c r="AU1311" s="24"/>
      <c r="AV1311" s="24"/>
      <c r="AW1311" s="24"/>
      <c r="AX1311" s="24"/>
      <c r="AY1311" s="24"/>
    </row>
    <row r="1312" spans="1:51" x14ac:dyDescent="0.35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  <c r="AA1312" s="24"/>
      <c r="AB1312" s="24"/>
      <c r="AC1312" s="24"/>
      <c r="AD1312" s="24"/>
      <c r="AE1312" s="24"/>
      <c r="AF1312" s="24"/>
      <c r="AG1312" s="24"/>
      <c r="AH1312" s="24"/>
      <c r="AI1312" s="24"/>
      <c r="AJ1312" s="24"/>
      <c r="AK1312" s="24"/>
      <c r="AL1312" s="24"/>
      <c r="AM1312" s="24"/>
      <c r="AN1312" s="24"/>
      <c r="AO1312" s="24"/>
      <c r="AP1312" s="24"/>
      <c r="AQ1312" s="24"/>
      <c r="AR1312" s="24"/>
      <c r="AS1312" s="24"/>
      <c r="AT1312" s="24"/>
      <c r="AU1312" s="24"/>
      <c r="AV1312" s="24"/>
      <c r="AW1312" s="24"/>
      <c r="AX1312" s="24"/>
      <c r="AY1312" s="24"/>
    </row>
    <row r="1313" spans="1:51" x14ac:dyDescent="0.35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  <c r="AA1313" s="24"/>
      <c r="AB1313" s="24"/>
      <c r="AC1313" s="24"/>
      <c r="AD1313" s="24"/>
      <c r="AE1313" s="24"/>
      <c r="AF1313" s="24"/>
      <c r="AG1313" s="24"/>
      <c r="AH1313" s="24"/>
      <c r="AI1313" s="24"/>
      <c r="AJ1313" s="24"/>
      <c r="AK1313" s="24"/>
      <c r="AL1313" s="24"/>
      <c r="AM1313" s="24"/>
      <c r="AN1313" s="24"/>
      <c r="AO1313" s="24"/>
      <c r="AP1313" s="24"/>
      <c r="AQ1313" s="24"/>
      <c r="AR1313" s="24"/>
      <c r="AS1313" s="24"/>
      <c r="AT1313" s="24"/>
      <c r="AU1313" s="24"/>
      <c r="AV1313" s="24"/>
      <c r="AW1313" s="24"/>
      <c r="AX1313" s="24"/>
      <c r="AY1313" s="24"/>
    </row>
    <row r="1314" spans="1:51" x14ac:dyDescent="0.35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  <c r="Y1314" s="24"/>
      <c r="Z1314" s="24"/>
      <c r="AA1314" s="24"/>
      <c r="AB1314" s="24"/>
      <c r="AC1314" s="24"/>
      <c r="AD1314" s="24"/>
      <c r="AE1314" s="24"/>
      <c r="AF1314" s="24"/>
      <c r="AG1314" s="24"/>
      <c r="AH1314" s="24"/>
      <c r="AI1314" s="24"/>
      <c r="AJ1314" s="24"/>
      <c r="AK1314" s="24"/>
      <c r="AL1314" s="24"/>
      <c r="AM1314" s="24"/>
      <c r="AN1314" s="24"/>
      <c r="AO1314" s="24"/>
      <c r="AP1314" s="24"/>
      <c r="AQ1314" s="24"/>
      <c r="AR1314" s="24"/>
      <c r="AS1314" s="24"/>
      <c r="AT1314" s="24"/>
      <c r="AU1314" s="24"/>
      <c r="AV1314" s="24"/>
      <c r="AW1314" s="24"/>
      <c r="AX1314" s="24"/>
      <c r="AY1314" s="24"/>
    </row>
    <row r="1315" spans="1:51" x14ac:dyDescent="0.35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  <c r="Y1315" s="24"/>
      <c r="Z1315" s="24"/>
      <c r="AA1315" s="24"/>
      <c r="AB1315" s="24"/>
      <c r="AC1315" s="24"/>
      <c r="AD1315" s="24"/>
      <c r="AE1315" s="24"/>
      <c r="AF1315" s="24"/>
      <c r="AG1315" s="24"/>
      <c r="AH1315" s="24"/>
      <c r="AI1315" s="24"/>
      <c r="AJ1315" s="24"/>
      <c r="AK1315" s="24"/>
      <c r="AL1315" s="24"/>
      <c r="AM1315" s="24"/>
      <c r="AN1315" s="24"/>
      <c r="AO1315" s="24"/>
      <c r="AP1315" s="24"/>
      <c r="AQ1315" s="24"/>
      <c r="AR1315" s="24"/>
      <c r="AS1315" s="24"/>
      <c r="AT1315" s="24"/>
      <c r="AU1315" s="24"/>
      <c r="AV1315" s="24"/>
      <c r="AW1315" s="24"/>
      <c r="AX1315" s="24"/>
      <c r="AY1315" s="24"/>
    </row>
    <row r="1316" spans="1:51" x14ac:dyDescent="0.35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  <c r="Y1316" s="24"/>
      <c r="Z1316" s="24"/>
      <c r="AA1316" s="24"/>
      <c r="AB1316" s="24"/>
      <c r="AC1316" s="24"/>
      <c r="AD1316" s="24"/>
      <c r="AE1316" s="24"/>
      <c r="AF1316" s="24"/>
      <c r="AG1316" s="24"/>
      <c r="AH1316" s="24"/>
      <c r="AI1316" s="24"/>
      <c r="AJ1316" s="24"/>
      <c r="AK1316" s="24"/>
      <c r="AL1316" s="24"/>
      <c r="AM1316" s="24"/>
      <c r="AN1316" s="24"/>
      <c r="AO1316" s="24"/>
      <c r="AP1316" s="24"/>
      <c r="AQ1316" s="24"/>
      <c r="AR1316" s="24"/>
      <c r="AS1316" s="24"/>
      <c r="AT1316" s="24"/>
      <c r="AU1316" s="24"/>
      <c r="AV1316" s="24"/>
      <c r="AW1316" s="24"/>
      <c r="AX1316" s="24"/>
      <c r="AY1316" s="24"/>
    </row>
    <row r="1317" spans="1:51" x14ac:dyDescent="0.35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  <c r="AA1317" s="24"/>
      <c r="AB1317" s="24"/>
      <c r="AC1317" s="24"/>
      <c r="AD1317" s="24"/>
      <c r="AE1317" s="24"/>
      <c r="AF1317" s="24"/>
      <c r="AG1317" s="24"/>
      <c r="AH1317" s="24"/>
      <c r="AI1317" s="24"/>
      <c r="AJ1317" s="24"/>
      <c r="AK1317" s="24"/>
      <c r="AL1317" s="24"/>
      <c r="AM1317" s="24"/>
      <c r="AN1317" s="24"/>
      <c r="AO1317" s="24"/>
      <c r="AP1317" s="24"/>
      <c r="AQ1317" s="24"/>
      <c r="AR1317" s="24"/>
      <c r="AS1317" s="24"/>
      <c r="AT1317" s="24"/>
      <c r="AU1317" s="24"/>
      <c r="AV1317" s="24"/>
      <c r="AW1317" s="24"/>
      <c r="AX1317" s="24"/>
      <c r="AY1317" s="24"/>
    </row>
    <row r="1318" spans="1:51" x14ac:dyDescent="0.35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/>
      <c r="AA1318" s="24"/>
      <c r="AB1318" s="24"/>
      <c r="AC1318" s="24"/>
      <c r="AD1318" s="24"/>
      <c r="AE1318" s="24"/>
      <c r="AF1318" s="24"/>
      <c r="AG1318" s="24"/>
      <c r="AH1318" s="24"/>
      <c r="AI1318" s="24"/>
      <c r="AJ1318" s="24"/>
      <c r="AK1318" s="24"/>
      <c r="AL1318" s="24"/>
      <c r="AM1318" s="24"/>
      <c r="AN1318" s="24"/>
      <c r="AO1318" s="24"/>
      <c r="AP1318" s="24"/>
      <c r="AQ1318" s="24"/>
      <c r="AR1318" s="24"/>
      <c r="AS1318" s="24"/>
      <c r="AT1318" s="24"/>
      <c r="AU1318" s="24"/>
      <c r="AV1318" s="24"/>
      <c r="AW1318" s="24"/>
      <c r="AX1318" s="24"/>
      <c r="AY1318" s="24"/>
    </row>
    <row r="1319" spans="1:51" x14ac:dyDescent="0.35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  <c r="AA1319" s="24"/>
      <c r="AB1319" s="24"/>
      <c r="AC1319" s="24"/>
      <c r="AD1319" s="24"/>
      <c r="AE1319" s="24"/>
      <c r="AF1319" s="24"/>
      <c r="AG1319" s="24"/>
      <c r="AH1319" s="24"/>
      <c r="AI1319" s="24"/>
      <c r="AJ1319" s="24"/>
      <c r="AK1319" s="24"/>
      <c r="AL1319" s="24"/>
      <c r="AM1319" s="24"/>
      <c r="AN1319" s="24"/>
      <c r="AO1319" s="24"/>
      <c r="AP1319" s="24"/>
      <c r="AQ1319" s="24"/>
      <c r="AR1319" s="24"/>
      <c r="AS1319" s="24"/>
      <c r="AT1319" s="24"/>
      <c r="AU1319" s="24"/>
      <c r="AV1319" s="24"/>
      <c r="AW1319" s="24"/>
      <c r="AX1319" s="24"/>
      <c r="AY1319" s="24"/>
    </row>
    <row r="1320" spans="1:51" x14ac:dyDescent="0.35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  <c r="Y1320" s="24"/>
      <c r="Z1320" s="24"/>
      <c r="AA1320" s="24"/>
      <c r="AB1320" s="24"/>
      <c r="AC1320" s="24"/>
      <c r="AD1320" s="24"/>
      <c r="AE1320" s="24"/>
      <c r="AF1320" s="24"/>
      <c r="AG1320" s="24"/>
      <c r="AH1320" s="24"/>
      <c r="AI1320" s="24"/>
      <c r="AJ1320" s="24"/>
      <c r="AK1320" s="24"/>
      <c r="AL1320" s="24"/>
      <c r="AM1320" s="24"/>
      <c r="AN1320" s="24"/>
      <c r="AO1320" s="24"/>
      <c r="AP1320" s="24"/>
      <c r="AQ1320" s="24"/>
      <c r="AR1320" s="24"/>
      <c r="AS1320" s="24"/>
      <c r="AT1320" s="24"/>
      <c r="AU1320" s="24"/>
      <c r="AV1320" s="24"/>
      <c r="AW1320" s="24"/>
      <c r="AX1320" s="24"/>
      <c r="AY1320" s="24"/>
    </row>
    <row r="1321" spans="1:51" x14ac:dyDescent="0.35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  <c r="Y1321" s="24"/>
      <c r="Z1321" s="24"/>
      <c r="AA1321" s="24"/>
      <c r="AB1321" s="24"/>
      <c r="AC1321" s="24"/>
      <c r="AD1321" s="24"/>
      <c r="AE1321" s="24"/>
      <c r="AF1321" s="24"/>
      <c r="AG1321" s="24"/>
      <c r="AH1321" s="24"/>
      <c r="AI1321" s="24"/>
      <c r="AJ1321" s="24"/>
      <c r="AK1321" s="24"/>
      <c r="AL1321" s="24"/>
      <c r="AM1321" s="24"/>
      <c r="AN1321" s="24"/>
      <c r="AO1321" s="24"/>
      <c r="AP1321" s="24"/>
      <c r="AQ1321" s="24"/>
      <c r="AR1321" s="24"/>
      <c r="AS1321" s="24"/>
      <c r="AT1321" s="24"/>
      <c r="AU1321" s="24"/>
      <c r="AV1321" s="24"/>
      <c r="AW1321" s="24"/>
      <c r="AX1321" s="24"/>
      <c r="AY1321" s="24"/>
    </row>
    <row r="1322" spans="1:51" x14ac:dyDescent="0.35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  <c r="Y1322" s="24"/>
      <c r="Z1322" s="24"/>
      <c r="AA1322" s="24"/>
      <c r="AB1322" s="24"/>
      <c r="AC1322" s="24"/>
      <c r="AD1322" s="24"/>
      <c r="AE1322" s="24"/>
      <c r="AF1322" s="24"/>
      <c r="AG1322" s="24"/>
      <c r="AH1322" s="24"/>
      <c r="AI1322" s="24"/>
      <c r="AJ1322" s="24"/>
      <c r="AK1322" s="24"/>
      <c r="AL1322" s="24"/>
      <c r="AM1322" s="24"/>
      <c r="AN1322" s="24"/>
      <c r="AO1322" s="24"/>
      <c r="AP1322" s="24"/>
      <c r="AQ1322" s="24"/>
      <c r="AR1322" s="24"/>
      <c r="AS1322" s="24"/>
      <c r="AT1322" s="24"/>
      <c r="AU1322" s="24"/>
      <c r="AV1322" s="24"/>
      <c r="AW1322" s="24"/>
      <c r="AX1322" s="24"/>
      <c r="AY1322" s="24"/>
    </row>
    <row r="1323" spans="1:51" x14ac:dyDescent="0.35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/>
      <c r="AA1323" s="24"/>
      <c r="AB1323" s="24"/>
      <c r="AC1323" s="24"/>
      <c r="AD1323" s="24"/>
      <c r="AE1323" s="24"/>
      <c r="AF1323" s="24"/>
      <c r="AG1323" s="24"/>
      <c r="AH1323" s="24"/>
      <c r="AI1323" s="24"/>
      <c r="AJ1323" s="24"/>
      <c r="AK1323" s="24"/>
      <c r="AL1323" s="24"/>
      <c r="AM1323" s="24"/>
      <c r="AN1323" s="24"/>
      <c r="AO1323" s="24"/>
      <c r="AP1323" s="24"/>
      <c r="AQ1323" s="24"/>
      <c r="AR1323" s="24"/>
      <c r="AS1323" s="24"/>
      <c r="AT1323" s="24"/>
      <c r="AU1323" s="24"/>
      <c r="AV1323" s="24"/>
      <c r="AW1323" s="24"/>
      <c r="AX1323" s="24"/>
      <c r="AY1323" s="24"/>
    </row>
    <row r="1324" spans="1:51" x14ac:dyDescent="0.35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  <c r="Y1324" s="24"/>
      <c r="Z1324" s="24"/>
      <c r="AA1324" s="24"/>
      <c r="AB1324" s="24"/>
      <c r="AC1324" s="24"/>
      <c r="AD1324" s="24"/>
      <c r="AE1324" s="24"/>
      <c r="AF1324" s="24"/>
      <c r="AG1324" s="24"/>
      <c r="AH1324" s="24"/>
      <c r="AI1324" s="24"/>
      <c r="AJ1324" s="24"/>
      <c r="AK1324" s="24"/>
      <c r="AL1324" s="24"/>
      <c r="AM1324" s="24"/>
      <c r="AN1324" s="24"/>
      <c r="AO1324" s="24"/>
      <c r="AP1324" s="24"/>
      <c r="AQ1324" s="24"/>
      <c r="AR1324" s="24"/>
      <c r="AS1324" s="24"/>
      <c r="AT1324" s="24"/>
      <c r="AU1324" s="24"/>
      <c r="AV1324" s="24"/>
      <c r="AW1324" s="24"/>
      <c r="AX1324" s="24"/>
      <c r="AY1324" s="24"/>
    </row>
    <row r="1325" spans="1:51" x14ac:dyDescent="0.35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  <c r="AA1325" s="24"/>
      <c r="AB1325" s="24"/>
      <c r="AC1325" s="24"/>
      <c r="AD1325" s="24"/>
      <c r="AE1325" s="24"/>
      <c r="AF1325" s="24"/>
      <c r="AG1325" s="24"/>
      <c r="AH1325" s="24"/>
      <c r="AI1325" s="24"/>
      <c r="AJ1325" s="24"/>
      <c r="AK1325" s="24"/>
      <c r="AL1325" s="24"/>
      <c r="AM1325" s="24"/>
      <c r="AN1325" s="24"/>
      <c r="AO1325" s="24"/>
      <c r="AP1325" s="24"/>
      <c r="AQ1325" s="24"/>
      <c r="AR1325" s="24"/>
      <c r="AS1325" s="24"/>
      <c r="AT1325" s="24"/>
      <c r="AU1325" s="24"/>
      <c r="AV1325" s="24"/>
      <c r="AW1325" s="24"/>
      <c r="AX1325" s="24"/>
      <c r="AY1325" s="24"/>
    </row>
    <row r="1326" spans="1:51" x14ac:dyDescent="0.35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  <c r="Y1326" s="24"/>
      <c r="Z1326" s="24"/>
      <c r="AA1326" s="24"/>
      <c r="AB1326" s="24"/>
      <c r="AC1326" s="24"/>
      <c r="AD1326" s="24"/>
      <c r="AE1326" s="24"/>
      <c r="AF1326" s="24"/>
      <c r="AG1326" s="24"/>
      <c r="AH1326" s="24"/>
      <c r="AI1326" s="24"/>
      <c r="AJ1326" s="24"/>
      <c r="AK1326" s="24"/>
      <c r="AL1326" s="24"/>
      <c r="AM1326" s="24"/>
      <c r="AN1326" s="24"/>
      <c r="AO1326" s="24"/>
      <c r="AP1326" s="24"/>
      <c r="AQ1326" s="24"/>
      <c r="AR1326" s="24"/>
      <c r="AS1326" s="24"/>
      <c r="AT1326" s="24"/>
      <c r="AU1326" s="24"/>
      <c r="AV1326" s="24"/>
      <c r="AW1326" s="24"/>
      <c r="AX1326" s="24"/>
      <c r="AY1326" s="24"/>
    </row>
    <row r="1327" spans="1:51" x14ac:dyDescent="0.35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  <c r="Y1327" s="24"/>
      <c r="Z1327" s="24"/>
      <c r="AA1327" s="24"/>
      <c r="AB1327" s="24"/>
      <c r="AC1327" s="24"/>
      <c r="AD1327" s="24"/>
      <c r="AE1327" s="24"/>
      <c r="AF1327" s="24"/>
      <c r="AG1327" s="24"/>
      <c r="AH1327" s="24"/>
      <c r="AI1327" s="24"/>
      <c r="AJ1327" s="24"/>
      <c r="AK1327" s="24"/>
      <c r="AL1327" s="24"/>
      <c r="AM1327" s="24"/>
      <c r="AN1327" s="24"/>
      <c r="AO1327" s="24"/>
      <c r="AP1327" s="24"/>
      <c r="AQ1327" s="24"/>
      <c r="AR1327" s="24"/>
      <c r="AS1327" s="24"/>
      <c r="AT1327" s="24"/>
      <c r="AU1327" s="24"/>
      <c r="AV1327" s="24"/>
      <c r="AW1327" s="24"/>
      <c r="AX1327" s="24"/>
      <c r="AY1327" s="24"/>
    </row>
    <row r="1328" spans="1:51" x14ac:dyDescent="0.35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  <c r="Y1328" s="24"/>
      <c r="Z1328" s="24"/>
      <c r="AA1328" s="24"/>
      <c r="AB1328" s="24"/>
      <c r="AC1328" s="24"/>
      <c r="AD1328" s="24"/>
      <c r="AE1328" s="24"/>
      <c r="AF1328" s="24"/>
      <c r="AG1328" s="24"/>
      <c r="AH1328" s="24"/>
      <c r="AI1328" s="24"/>
      <c r="AJ1328" s="24"/>
      <c r="AK1328" s="24"/>
      <c r="AL1328" s="24"/>
      <c r="AM1328" s="24"/>
      <c r="AN1328" s="24"/>
      <c r="AO1328" s="24"/>
      <c r="AP1328" s="24"/>
      <c r="AQ1328" s="24"/>
      <c r="AR1328" s="24"/>
      <c r="AS1328" s="24"/>
      <c r="AT1328" s="24"/>
      <c r="AU1328" s="24"/>
      <c r="AV1328" s="24"/>
      <c r="AW1328" s="24"/>
      <c r="AX1328" s="24"/>
      <c r="AY1328" s="24"/>
    </row>
    <row r="1329" spans="1:51" x14ac:dyDescent="0.35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  <c r="AA1329" s="24"/>
      <c r="AB1329" s="24"/>
      <c r="AC1329" s="24"/>
      <c r="AD1329" s="24"/>
      <c r="AE1329" s="24"/>
      <c r="AF1329" s="24"/>
      <c r="AG1329" s="24"/>
      <c r="AH1329" s="24"/>
      <c r="AI1329" s="24"/>
      <c r="AJ1329" s="24"/>
      <c r="AK1329" s="24"/>
      <c r="AL1329" s="24"/>
      <c r="AM1329" s="24"/>
      <c r="AN1329" s="24"/>
      <c r="AO1329" s="24"/>
      <c r="AP1329" s="24"/>
      <c r="AQ1329" s="24"/>
      <c r="AR1329" s="24"/>
      <c r="AS1329" s="24"/>
      <c r="AT1329" s="24"/>
      <c r="AU1329" s="24"/>
      <c r="AV1329" s="24"/>
      <c r="AW1329" s="24"/>
      <c r="AX1329" s="24"/>
      <c r="AY1329" s="24"/>
    </row>
    <row r="1330" spans="1:51" x14ac:dyDescent="0.35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  <c r="Y1330" s="24"/>
      <c r="Z1330" s="24"/>
      <c r="AA1330" s="24"/>
      <c r="AB1330" s="24"/>
      <c r="AC1330" s="24"/>
      <c r="AD1330" s="24"/>
      <c r="AE1330" s="24"/>
      <c r="AF1330" s="24"/>
      <c r="AG1330" s="24"/>
      <c r="AH1330" s="24"/>
      <c r="AI1330" s="24"/>
      <c r="AJ1330" s="24"/>
      <c r="AK1330" s="24"/>
      <c r="AL1330" s="24"/>
      <c r="AM1330" s="24"/>
      <c r="AN1330" s="24"/>
      <c r="AO1330" s="24"/>
      <c r="AP1330" s="24"/>
      <c r="AQ1330" s="24"/>
      <c r="AR1330" s="24"/>
      <c r="AS1330" s="24"/>
      <c r="AT1330" s="24"/>
      <c r="AU1330" s="24"/>
      <c r="AV1330" s="24"/>
      <c r="AW1330" s="24"/>
      <c r="AX1330" s="24"/>
      <c r="AY1330" s="24"/>
    </row>
    <row r="1331" spans="1:51" x14ac:dyDescent="0.35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  <c r="AA1331" s="24"/>
      <c r="AB1331" s="24"/>
      <c r="AC1331" s="24"/>
      <c r="AD1331" s="24"/>
      <c r="AE1331" s="24"/>
      <c r="AF1331" s="24"/>
      <c r="AG1331" s="24"/>
      <c r="AH1331" s="24"/>
      <c r="AI1331" s="24"/>
      <c r="AJ1331" s="24"/>
      <c r="AK1331" s="24"/>
      <c r="AL1331" s="24"/>
      <c r="AM1331" s="24"/>
      <c r="AN1331" s="24"/>
      <c r="AO1331" s="24"/>
      <c r="AP1331" s="24"/>
      <c r="AQ1331" s="24"/>
      <c r="AR1331" s="24"/>
      <c r="AS1331" s="24"/>
      <c r="AT1331" s="24"/>
      <c r="AU1331" s="24"/>
      <c r="AV1331" s="24"/>
      <c r="AW1331" s="24"/>
      <c r="AX1331" s="24"/>
      <c r="AY1331" s="24"/>
    </row>
    <row r="1332" spans="1:51" x14ac:dyDescent="0.35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  <c r="AA1332" s="24"/>
      <c r="AB1332" s="24"/>
      <c r="AC1332" s="24"/>
      <c r="AD1332" s="24"/>
      <c r="AE1332" s="24"/>
      <c r="AF1332" s="24"/>
      <c r="AG1332" s="24"/>
      <c r="AH1332" s="24"/>
      <c r="AI1332" s="24"/>
      <c r="AJ1332" s="24"/>
      <c r="AK1332" s="24"/>
      <c r="AL1332" s="24"/>
      <c r="AM1332" s="24"/>
      <c r="AN1332" s="24"/>
      <c r="AO1332" s="24"/>
      <c r="AP1332" s="24"/>
      <c r="AQ1332" s="24"/>
      <c r="AR1332" s="24"/>
      <c r="AS1332" s="24"/>
      <c r="AT1332" s="24"/>
      <c r="AU1332" s="24"/>
      <c r="AV1332" s="24"/>
      <c r="AW1332" s="24"/>
      <c r="AX1332" s="24"/>
      <c r="AY1332" s="24"/>
    </row>
    <row r="1333" spans="1:51" x14ac:dyDescent="0.35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  <c r="AA1333" s="24"/>
      <c r="AB1333" s="24"/>
      <c r="AC1333" s="24"/>
      <c r="AD1333" s="24"/>
      <c r="AE1333" s="24"/>
      <c r="AF1333" s="24"/>
      <c r="AG1333" s="24"/>
      <c r="AH1333" s="24"/>
      <c r="AI1333" s="24"/>
      <c r="AJ1333" s="24"/>
      <c r="AK1333" s="24"/>
      <c r="AL1333" s="24"/>
      <c r="AM1333" s="24"/>
      <c r="AN1333" s="24"/>
      <c r="AO1333" s="24"/>
      <c r="AP1333" s="24"/>
      <c r="AQ1333" s="24"/>
      <c r="AR1333" s="24"/>
      <c r="AS1333" s="24"/>
      <c r="AT1333" s="24"/>
      <c r="AU1333" s="24"/>
      <c r="AV1333" s="24"/>
      <c r="AW1333" s="24"/>
      <c r="AX1333" s="24"/>
      <c r="AY1333" s="24"/>
    </row>
    <row r="1334" spans="1:51" x14ac:dyDescent="0.35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  <c r="Y1334" s="24"/>
      <c r="Z1334" s="24"/>
      <c r="AA1334" s="24"/>
      <c r="AB1334" s="24"/>
      <c r="AC1334" s="24"/>
      <c r="AD1334" s="24"/>
      <c r="AE1334" s="24"/>
      <c r="AF1334" s="24"/>
      <c r="AG1334" s="24"/>
      <c r="AH1334" s="24"/>
      <c r="AI1334" s="24"/>
      <c r="AJ1334" s="24"/>
      <c r="AK1334" s="24"/>
      <c r="AL1334" s="24"/>
      <c r="AM1334" s="24"/>
      <c r="AN1334" s="24"/>
      <c r="AO1334" s="24"/>
      <c r="AP1334" s="24"/>
      <c r="AQ1334" s="24"/>
      <c r="AR1334" s="24"/>
      <c r="AS1334" s="24"/>
      <c r="AT1334" s="24"/>
      <c r="AU1334" s="24"/>
      <c r="AV1334" s="24"/>
      <c r="AW1334" s="24"/>
      <c r="AX1334" s="24"/>
      <c r="AY1334" s="24"/>
    </row>
    <row r="1335" spans="1:51" x14ac:dyDescent="0.35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/>
      <c r="AA1335" s="24"/>
      <c r="AB1335" s="24"/>
      <c r="AC1335" s="24"/>
      <c r="AD1335" s="24"/>
      <c r="AE1335" s="24"/>
      <c r="AF1335" s="24"/>
      <c r="AG1335" s="24"/>
      <c r="AH1335" s="24"/>
      <c r="AI1335" s="24"/>
      <c r="AJ1335" s="24"/>
      <c r="AK1335" s="24"/>
      <c r="AL1335" s="24"/>
      <c r="AM1335" s="24"/>
      <c r="AN1335" s="24"/>
      <c r="AO1335" s="24"/>
      <c r="AP1335" s="24"/>
      <c r="AQ1335" s="24"/>
      <c r="AR1335" s="24"/>
      <c r="AS1335" s="24"/>
      <c r="AT1335" s="24"/>
      <c r="AU1335" s="24"/>
      <c r="AV1335" s="24"/>
      <c r="AW1335" s="24"/>
      <c r="AX1335" s="24"/>
      <c r="AY1335" s="24"/>
    </row>
    <row r="1336" spans="1:51" x14ac:dyDescent="0.35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/>
      <c r="AA1336" s="24"/>
      <c r="AB1336" s="24"/>
      <c r="AC1336" s="24"/>
      <c r="AD1336" s="24"/>
      <c r="AE1336" s="24"/>
      <c r="AF1336" s="24"/>
      <c r="AG1336" s="24"/>
      <c r="AH1336" s="24"/>
      <c r="AI1336" s="24"/>
      <c r="AJ1336" s="24"/>
      <c r="AK1336" s="24"/>
      <c r="AL1336" s="24"/>
      <c r="AM1336" s="24"/>
      <c r="AN1336" s="24"/>
      <c r="AO1336" s="24"/>
      <c r="AP1336" s="24"/>
      <c r="AQ1336" s="24"/>
      <c r="AR1336" s="24"/>
      <c r="AS1336" s="24"/>
      <c r="AT1336" s="24"/>
      <c r="AU1336" s="24"/>
      <c r="AV1336" s="24"/>
      <c r="AW1336" s="24"/>
      <c r="AX1336" s="24"/>
      <c r="AY1336" s="24"/>
    </row>
    <row r="1337" spans="1:51" x14ac:dyDescent="0.35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  <c r="Y1337" s="24"/>
      <c r="Z1337" s="24"/>
      <c r="AA1337" s="24"/>
      <c r="AB1337" s="24"/>
      <c r="AC1337" s="24"/>
      <c r="AD1337" s="24"/>
      <c r="AE1337" s="24"/>
      <c r="AF1337" s="24"/>
      <c r="AG1337" s="24"/>
      <c r="AH1337" s="24"/>
      <c r="AI1337" s="24"/>
      <c r="AJ1337" s="24"/>
      <c r="AK1337" s="24"/>
      <c r="AL1337" s="24"/>
      <c r="AM1337" s="24"/>
      <c r="AN1337" s="24"/>
      <c r="AO1337" s="24"/>
      <c r="AP1337" s="24"/>
      <c r="AQ1337" s="24"/>
      <c r="AR1337" s="24"/>
      <c r="AS1337" s="24"/>
      <c r="AT1337" s="24"/>
      <c r="AU1337" s="24"/>
      <c r="AV1337" s="24"/>
      <c r="AW1337" s="24"/>
      <c r="AX1337" s="24"/>
      <c r="AY1337" s="24"/>
    </row>
    <row r="1338" spans="1:51" x14ac:dyDescent="0.35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  <c r="AA1338" s="24"/>
      <c r="AB1338" s="24"/>
      <c r="AC1338" s="24"/>
      <c r="AD1338" s="24"/>
      <c r="AE1338" s="24"/>
      <c r="AF1338" s="24"/>
      <c r="AG1338" s="24"/>
      <c r="AH1338" s="24"/>
      <c r="AI1338" s="24"/>
      <c r="AJ1338" s="24"/>
      <c r="AK1338" s="24"/>
      <c r="AL1338" s="24"/>
      <c r="AM1338" s="24"/>
      <c r="AN1338" s="24"/>
      <c r="AO1338" s="24"/>
      <c r="AP1338" s="24"/>
      <c r="AQ1338" s="24"/>
      <c r="AR1338" s="24"/>
      <c r="AS1338" s="24"/>
      <c r="AT1338" s="24"/>
      <c r="AU1338" s="24"/>
      <c r="AV1338" s="24"/>
      <c r="AW1338" s="24"/>
      <c r="AX1338" s="24"/>
      <c r="AY1338" s="24"/>
    </row>
    <row r="1339" spans="1:51" x14ac:dyDescent="0.35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  <c r="Y1339" s="24"/>
      <c r="Z1339" s="24"/>
      <c r="AA1339" s="24"/>
      <c r="AB1339" s="24"/>
      <c r="AC1339" s="24"/>
      <c r="AD1339" s="24"/>
      <c r="AE1339" s="24"/>
      <c r="AF1339" s="24"/>
      <c r="AG1339" s="24"/>
      <c r="AH1339" s="24"/>
      <c r="AI1339" s="24"/>
      <c r="AJ1339" s="24"/>
      <c r="AK1339" s="24"/>
      <c r="AL1339" s="24"/>
      <c r="AM1339" s="24"/>
      <c r="AN1339" s="24"/>
      <c r="AO1339" s="24"/>
      <c r="AP1339" s="24"/>
      <c r="AQ1339" s="24"/>
      <c r="AR1339" s="24"/>
      <c r="AS1339" s="24"/>
      <c r="AT1339" s="24"/>
      <c r="AU1339" s="24"/>
      <c r="AV1339" s="24"/>
      <c r="AW1339" s="24"/>
      <c r="AX1339" s="24"/>
      <c r="AY1339" s="24"/>
    </row>
    <row r="1340" spans="1:51" x14ac:dyDescent="0.35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  <c r="Y1340" s="24"/>
      <c r="Z1340" s="24"/>
      <c r="AA1340" s="24"/>
      <c r="AB1340" s="24"/>
      <c r="AC1340" s="24"/>
      <c r="AD1340" s="24"/>
      <c r="AE1340" s="24"/>
      <c r="AF1340" s="24"/>
      <c r="AG1340" s="24"/>
      <c r="AH1340" s="24"/>
      <c r="AI1340" s="24"/>
      <c r="AJ1340" s="24"/>
      <c r="AK1340" s="24"/>
      <c r="AL1340" s="24"/>
      <c r="AM1340" s="24"/>
      <c r="AN1340" s="24"/>
      <c r="AO1340" s="24"/>
      <c r="AP1340" s="24"/>
      <c r="AQ1340" s="24"/>
      <c r="AR1340" s="24"/>
      <c r="AS1340" s="24"/>
      <c r="AT1340" s="24"/>
      <c r="AU1340" s="24"/>
      <c r="AV1340" s="24"/>
      <c r="AW1340" s="24"/>
      <c r="AX1340" s="24"/>
      <c r="AY1340" s="24"/>
    </row>
    <row r="1341" spans="1:51" x14ac:dyDescent="0.35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  <c r="AA1341" s="24"/>
      <c r="AB1341" s="24"/>
      <c r="AC1341" s="24"/>
      <c r="AD1341" s="24"/>
      <c r="AE1341" s="24"/>
      <c r="AF1341" s="24"/>
      <c r="AG1341" s="24"/>
      <c r="AH1341" s="24"/>
      <c r="AI1341" s="24"/>
      <c r="AJ1341" s="24"/>
      <c r="AK1341" s="24"/>
      <c r="AL1341" s="24"/>
      <c r="AM1341" s="24"/>
      <c r="AN1341" s="24"/>
      <c r="AO1341" s="24"/>
      <c r="AP1341" s="24"/>
      <c r="AQ1341" s="24"/>
      <c r="AR1341" s="24"/>
      <c r="AS1341" s="24"/>
      <c r="AT1341" s="24"/>
      <c r="AU1341" s="24"/>
      <c r="AV1341" s="24"/>
      <c r="AW1341" s="24"/>
      <c r="AX1341" s="24"/>
      <c r="AY1341" s="24"/>
    </row>
    <row r="1342" spans="1:51" x14ac:dyDescent="0.35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  <c r="Y1342" s="24"/>
      <c r="Z1342" s="24"/>
      <c r="AA1342" s="24"/>
      <c r="AB1342" s="24"/>
      <c r="AC1342" s="24"/>
      <c r="AD1342" s="24"/>
      <c r="AE1342" s="24"/>
      <c r="AF1342" s="24"/>
      <c r="AG1342" s="24"/>
      <c r="AH1342" s="24"/>
      <c r="AI1342" s="24"/>
      <c r="AJ1342" s="24"/>
      <c r="AK1342" s="24"/>
      <c r="AL1342" s="24"/>
      <c r="AM1342" s="24"/>
      <c r="AN1342" s="24"/>
      <c r="AO1342" s="24"/>
      <c r="AP1342" s="24"/>
      <c r="AQ1342" s="24"/>
      <c r="AR1342" s="24"/>
      <c r="AS1342" s="24"/>
      <c r="AT1342" s="24"/>
      <c r="AU1342" s="24"/>
      <c r="AV1342" s="24"/>
      <c r="AW1342" s="24"/>
      <c r="AX1342" s="24"/>
      <c r="AY1342" s="24"/>
    </row>
    <row r="1343" spans="1:51" x14ac:dyDescent="0.35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/>
      <c r="AA1343" s="24"/>
      <c r="AB1343" s="24"/>
      <c r="AC1343" s="24"/>
      <c r="AD1343" s="24"/>
      <c r="AE1343" s="24"/>
      <c r="AF1343" s="24"/>
      <c r="AG1343" s="24"/>
      <c r="AH1343" s="24"/>
      <c r="AI1343" s="24"/>
      <c r="AJ1343" s="24"/>
      <c r="AK1343" s="24"/>
      <c r="AL1343" s="24"/>
      <c r="AM1343" s="24"/>
      <c r="AN1343" s="24"/>
      <c r="AO1343" s="24"/>
      <c r="AP1343" s="24"/>
      <c r="AQ1343" s="24"/>
      <c r="AR1343" s="24"/>
      <c r="AS1343" s="24"/>
      <c r="AT1343" s="24"/>
      <c r="AU1343" s="24"/>
      <c r="AV1343" s="24"/>
      <c r="AW1343" s="24"/>
      <c r="AX1343" s="24"/>
      <c r="AY1343" s="24"/>
    </row>
    <row r="1344" spans="1:51" x14ac:dyDescent="0.35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  <c r="Y1344" s="24"/>
      <c r="Z1344" s="24"/>
      <c r="AA1344" s="24"/>
      <c r="AB1344" s="24"/>
      <c r="AC1344" s="24"/>
      <c r="AD1344" s="24"/>
      <c r="AE1344" s="24"/>
      <c r="AF1344" s="24"/>
      <c r="AG1344" s="24"/>
      <c r="AH1344" s="24"/>
      <c r="AI1344" s="24"/>
      <c r="AJ1344" s="24"/>
      <c r="AK1344" s="24"/>
      <c r="AL1344" s="24"/>
      <c r="AM1344" s="24"/>
      <c r="AN1344" s="24"/>
      <c r="AO1344" s="24"/>
      <c r="AP1344" s="24"/>
      <c r="AQ1344" s="24"/>
      <c r="AR1344" s="24"/>
      <c r="AS1344" s="24"/>
      <c r="AT1344" s="24"/>
      <c r="AU1344" s="24"/>
      <c r="AV1344" s="24"/>
      <c r="AW1344" s="24"/>
      <c r="AX1344" s="24"/>
      <c r="AY1344" s="24"/>
    </row>
    <row r="1345" spans="1:51" x14ac:dyDescent="0.35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  <c r="Y1345" s="24"/>
      <c r="Z1345" s="24"/>
      <c r="AA1345" s="24"/>
      <c r="AB1345" s="24"/>
      <c r="AC1345" s="24"/>
      <c r="AD1345" s="24"/>
      <c r="AE1345" s="24"/>
      <c r="AF1345" s="24"/>
      <c r="AG1345" s="24"/>
      <c r="AH1345" s="24"/>
      <c r="AI1345" s="24"/>
      <c r="AJ1345" s="24"/>
      <c r="AK1345" s="24"/>
      <c r="AL1345" s="24"/>
      <c r="AM1345" s="24"/>
      <c r="AN1345" s="24"/>
      <c r="AO1345" s="24"/>
      <c r="AP1345" s="24"/>
      <c r="AQ1345" s="24"/>
      <c r="AR1345" s="24"/>
      <c r="AS1345" s="24"/>
      <c r="AT1345" s="24"/>
      <c r="AU1345" s="24"/>
      <c r="AV1345" s="24"/>
      <c r="AW1345" s="24"/>
      <c r="AX1345" s="24"/>
      <c r="AY1345" s="24"/>
    </row>
    <row r="1346" spans="1:51" x14ac:dyDescent="0.35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  <c r="AA1346" s="24"/>
      <c r="AB1346" s="24"/>
      <c r="AC1346" s="24"/>
      <c r="AD1346" s="24"/>
      <c r="AE1346" s="24"/>
      <c r="AF1346" s="24"/>
      <c r="AG1346" s="24"/>
      <c r="AH1346" s="24"/>
      <c r="AI1346" s="24"/>
      <c r="AJ1346" s="24"/>
      <c r="AK1346" s="24"/>
      <c r="AL1346" s="24"/>
      <c r="AM1346" s="24"/>
      <c r="AN1346" s="24"/>
      <c r="AO1346" s="24"/>
      <c r="AP1346" s="24"/>
      <c r="AQ1346" s="24"/>
      <c r="AR1346" s="24"/>
      <c r="AS1346" s="24"/>
      <c r="AT1346" s="24"/>
      <c r="AU1346" s="24"/>
      <c r="AV1346" s="24"/>
      <c r="AW1346" s="24"/>
      <c r="AX1346" s="24"/>
      <c r="AY1346" s="24"/>
    </row>
    <row r="1347" spans="1:51" x14ac:dyDescent="0.35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/>
      <c r="AA1347" s="24"/>
      <c r="AB1347" s="24"/>
      <c r="AC1347" s="24"/>
      <c r="AD1347" s="24"/>
      <c r="AE1347" s="24"/>
      <c r="AF1347" s="24"/>
      <c r="AG1347" s="24"/>
      <c r="AH1347" s="24"/>
      <c r="AI1347" s="24"/>
      <c r="AJ1347" s="24"/>
      <c r="AK1347" s="24"/>
      <c r="AL1347" s="24"/>
      <c r="AM1347" s="24"/>
      <c r="AN1347" s="24"/>
      <c r="AO1347" s="24"/>
      <c r="AP1347" s="24"/>
      <c r="AQ1347" s="24"/>
      <c r="AR1347" s="24"/>
      <c r="AS1347" s="24"/>
      <c r="AT1347" s="24"/>
      <c r="AU1347" s="24"/>
      <c r="AV1347" s="24"/>
      <c r="AW1347" s="24"/>
      <c r="AX1347" s="24"/>
      <c r="AY1347" s="24"/>
    </row>
    <row r="1348" spans="1:51" x14ac:dyDescent="0.35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  <c r="Y1348" s="24"/>
      <c r="Z1348" s="24"/>
      <c r="AA1348" s="24"/>
      <c r="AB1348" s="24"/>
      <c r="AC1348" s="24"/>
      <c r="AD1348" s="24"/>
      <c r="AE1348" s="24"/>
      <c r="AF1348" s="24"/>
      <c r="AG1348" s="24"/>
      <c r="AH1348" s="24"/>
      <c r="AI1348" s="24"/>
      <c r="AJ1348" s="24"/>
      <c r="AK1348" s="24"/>
      <c r="AL1348" s="24"/>
      <c r="AM1348" s="24"/>
      <c r="AN1348" s="24"/>
      <c r="AO1348" s="24"/>
      <c r="AP1348" s="24"/>
      <c r="AQ1348" s="24"/>
      <c r="AR1348" s="24"/>
      <c r="AS1348" s="24"/>
      <c r="AT1348" s="24"/>
      <c r="AU1348" s="24"/>
      <c r="AV1348" s="24"/>
      <c r="AW1348" s="24"/>
      <c r="AX1348" s="24"/>
      <c r="AY1348" s="24"/>
    </row>
    <row r="1349" spans="1:51" x14ac:dyDescent="0.35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/>
      <c r="AA1349" s="24"/>
      <c r="AB1349" s="24"/>
      <c r="AC1349" s="24"/>
      <c r="AD1349" s="24"/>
      <c r="AE1349" s="24"/>
      <c r="AF1349" s="24"/>
      <c r="AG1349" s="24"/>
      <c r="AH1349" s="24"/>
      <c r="AI1349" s="24"/>
      <c r="AJ1349" s="24"/>
      <c r="AK1349" s="24"/>
      <c r="AL1349" s="24"/>
      <c r="AM1349" s="24"/>
      <c r="AN1349" s="24"/>
      <c r="AO1349" s="24"/>
      <c r="AP1349" s="24"/>
      <c r="AQ1349" s="24"/>
      <c r="AR1349" s="24"/>
      <c r="AS1349" s="24"/>
      <c r="AT1349" s="24"/>
      <c r="AU1349" s="24"/>
      <c r="AV1349" s="24"/>
      <c r="AW1349" s="24"/>
      <c r="AX1349" s="24"/>
      <c r="AY1349" s="24"/>
    </row>
    <row r="1350" spans="1:51" x14ac:dyDescent="0.35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/>
      <c r="AA1350" s="24"/>
      <c r="AB1350" s="24"/>
      <c r="AC1350" s="24"/>
      <c r="AD1350" s="24"/>
      <c r="AE1350" s="24"/>
      <c r="AF1350" s="24"/>
      <c r="AG1350" s="24"/>
      <c r="AH1350" s="24"/>
      <c r="AI1350" s="24"/>
      <c r="AJ1350" s="24"/>
      <c r="AK1350" s="24"/>
      <c r="AL1350" s="24"/>
      <c r="AM1350" s="24"/>
      <c r="AN1350" s="24"/>
      <c r="AO1350" s="24"/>
      <c r="AP1350" s="24"/>
      <c r="AQ1350" s="24"/>
      <c r="AR1350" s="24"/>
      <c r="AS1350" s="24"/>
      <c r="AT1350" s="24"/>
      <c r="AU1350" s="24"/>
      <c r="AV1350" s="24"/>
      <c r="AW1350" s="24"/>
      <c r="AX1350" s="24"/>
      <c r="AY1350" s="24"/>
    </row>
    <row r="1351" spans="1:51" x14ac:dyDescent="0.35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/>
      <c r="Z1351" s="24"/>
      <c r="AA1351" s="24"/>
      <c r="AB1351" s="24"/>
      <c r="AC1351" s="24"/>
      <c r="AD1351" s="24"/>
      <c r="AE1351" s="24"/>
      <c r="AF1351" s="24"/>
      <c r="AG1351" s="24"/>
      <c r="AH1351" s="24"/>
      <c r="AI1351" s="24"/>
      <c r="AJ1351" s="24"/>
      <c r="AK1351" s="24"/>
      <c r="AL1351" s="24"/>
      <c r="AM1351" s="24"/>
      <c r="AN1351" s="24"/>
      <c r="AO1351" s="24"/>
      <c r="AP1351" s="24"/>
      <c r="AQ1351" s="24"/>
      <c r="AR1351" s="24"/>
      <c r="AS1351" s="24"/>
      <c r="AT1351" s="24"/>
      <c r="AU1351" s="24"/>
      <c r="AV1351" s="24"/>
      <c r="AW1351" s="24"/>
      <c r="AX1351" s="24"/>
      <c r="AY1351" s="24"/>
    </row>
    <row r="1352" spans="1:51" x14ac:dyDescent="0.35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  <c r="Y1352" s="24"/>
      <c r="Z1352" s="24"/>
      <c r="AA1352" s="24"/>
      <c r="AB1352" s="24"/>
      <c r="AC1352" s="24"/>
      <c r="AD1352" s="24"/>
      <c r="AE1352" s="24"/>
      <c r="AF1352" s="24"/>
      <c r="AG1352" s="24"/>
      <c r="AH1352" s="24"/>
      <c r="AI1352" s="24"/>
      <c r="AJ1352" s="24"/>
      <c r="AK1352" s="24"/>
      <c r="AL1352" s="24"/>
      <c r="AM1352" s="24"/>
      <c r="AN1352" s="24"/>
      <c r="AO1352" s="24"/>
      <c r="AP1352" s="24"/>
      <c r="AQ1352" s="24"/>
      <c r="AR1352" s="24"/>
      <c r="AS1352" s="24"/>
      <c r="AT1352" s="24"/>
      <c r="AU1352" s="24"/>
      <c r="AV1352" s="24"/>
      <c r="AW1352" s="24"/>
      <c r="AX1352" s="24"/>
      <c r="AY1352" s="24"/>
    </row>
    <row r="1353" spans="1:51" x14ac:dyDescent="0.35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  <c r="Y1353" s="24"/>
      <c r="Z1353" s="24"/>
      <c r="AA1353" s="24"/>
      <c r="AB1353" s="24"/>
      <c r="AC1353" s="24"/>
      <c r="AD1353" s="24"/>
      <c r="AE1353" s="24"/>
      <c r="AF1353" s="24"/>
      <c r="AG1353" s="24"/>
      <c r="AH1353" s="24"/>
      <c r="AI1353" s="24"/>
      <c r="AJ1353" s="24"/>
      <c r="AK1353" s="24"/>
      <c r="AL1353" s="24"/>
      <c r="AM1353" s="24"/>
      <c r="AN1353" s="24"/>
      <c r="AO1353" s="24"/>
      <c r="AP1353" s="24"/>
      <c r="AQ1353" s="24"/>
      <c r="AR1353" s="24"/>
      <c r="AS1353" s="24"/>
      <c r="AT1353" s="24"/>
      <c r="AU1353" s="24"/>
      <c r="AV1353" s="24"/>
      <c r="AW1353" s="24"/>
      <c r="AX1353" s="24"/>
      <c r="AY1353" s="24"/>
    </row>
    <row r="1354" spans="1:51" x14ac:dyDescent="0.35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  <c r="AA1354" s="24"/>
      <c r="AB1354" s="24"/>
      <c r="AC1354" s="24"/>
      <c r="AD1354" s="24"/>
      <c r="AE1354" s="24"/>
      <c r="AF1354" s="24"/>
      <c r="AG1354" s="24"/>
      <c r="AH1354" s="24"/>
      <c r="AI1354" s="24"/>
      <c r="AJ1354" s="24"/>
      <c r="AK1354" s="24"/>
      <c r="AL1354" s="24"/>
      <c r="AM1354" s="24"/>
      <c r="AN1354" s="24"/>
      <c r="AO1354" s="24"/>
      <c r="AP1354" s="24"/>
      <c r="AQ1354" s="24"/>
      <c r="AR1354" s="24"/>
      <c r="AS1354" s="24"/>
      <c r="AT1354" s="24"/>
      <c r="AU1354" s="24"/>
      <c r="AV1354" s="24"/>
      <c r="AW1354" s="24"/>
      <c r="AX1354" s="24"/>
      <c r="AY1354" s="24"/>
    </row>
    <row r="1355" spans="1:51" x14ac:dyDescent="0.35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  <c r="AA1355" s="24"/>
      <c r="AB1355" s="24"/>
      <c r="AC1355" s="24"/>
      <c r="AD1355" s="24"/>
      <c r="AE1355" s="24"/>
      <c r="AF1355" s="24"/>
      <c r="AG1355" s="24"/>
      <c r="AH1355" s="24"/>
      <c r="AI1355" s="24"/>
      <c r="AJ1355" s="24"/>
      <c r="AK1355" s="24"/>
      <c r="AL1355" s="24"/>
      <c r="AM1355" s="24"/>
      <c r="AN1355" s="24"/>
      <c r="AO1355" s="24"/>
      <c r="AP1355" s="24"/>
      <c r="AQ1355" s="24"/>
      <c r="AR1355" s="24"/>
      <c r="AS1355" s="24"/>
      <c r="AT1355" s="24"/>
      <c r="AU1355" s="24"/>
      <c r="AV1355" s="24"/>
      <c r="AW1355" s="24"/>
      <c r="AX1355" s="24"/>
      <c r="AY1355" s="24"/>
    </row>
    <row r="1356" spans="1:51" x14ac:dyDescent="0.35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  <c r="AA1356" s="24"/>
      <c r="AB1356" s="24"/>
      <c r="AC1356" s="24"/>
      <c r="AD1356" s="24"/>
      <c r="AE1356" s="24"/>
      <c r="AF1356" s="24"/>
      <c r="AG1356" s="24"/>
      <c r="AH1356" s="24"/>
      <c r="AI1356" s="24"/>
      <c r="AJ1356" s="24"/>
      <c r="AK1356" s="24"/>
      <c r="AL1356" s="24"/>
      <c r="AM1356" s="24"/>
      <c r="AN1356" s="24"/>
      <c r="AO1356" s="24"/>
      <c r="AP1356" s="24"/>
      <c r="AQ1356" s="24"/>
      <c r="AR1356" s="24"/>
      <c r="AS1356" s="24"/>
      <c r="AT1356" s="24"/>
      <c r="AU1356" s="24"/>
      <c r="AV1356" s="24"/>
      <c r="AW1356" s="24"/>
      <c r="AX1356" s="24"/>
      <c r="AY1356" s="24"/>
    </row>
    <row r="1357" spans="1:51" x14ac:dyDescent="0.35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  <c r="Y1357" s="24"/>
      <c r="Z1357" s="24"/>
      <c r="AA1357" s="24"/>
      <c r="AB1357" s="24"/>
      <c r="AC1357" s="24"/>
      <c r="AD1357" s="24"/>
      <c r="AE1357" s="24"/>
      <c r="AF1357" s="24"/>
      <c r="AG1357" s="24"/>
      <c r="AH1357" s="24"/>
      <c r="AI1357" s="24"/>
      <c r="AJ1357" s="24"/>
      <c r="AK1357" s="24"/>
      <c r="AL1357" s="24"/>
      <c r="AM1357" s="24"/>
      <c r="AN1357" s="24"/>
      <c r="AO1357" s="24"/>
      <c r="AP1357" s="24"/>
      <c r="AQ1357" s="24"/>
      <c r="AR1357" s="24"/>
      <c r="AS1357" s="24"/>
      <c r="AT1357" s="24"/>
      <c r="AU1357" s="24"/>
      <c r="AV1357" s="24"/>
      <c r="AW1357" s="24"/>
      <c r="AX1357" s="24"/>
      <c r="AY1357" s="24"/>
    </row>
    <row r="1358" spans="1:51" x14ac:dyDescent="0.35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/>
      <c r="AA1358" s="24"/>
      <c r="AB1358" s="24"/>
      <c r="AC1358" s="24"/>
      <c r="AD1358" s="24"/>
      <c r="AE1358" s="24"/>
      <c r="AF1358" s="24"/>
      <c r="AG1358" s="24"/>
      <c r="AH1358" s="24"/>
      <c r="AI1358" s="24"/>
      <c r="AJ1358" s="24"/>
      <c r="AK1358" s="24"/>
      <c r="AL1358" s="24"/>
      <c r="AM1358" s="24"/>
      <c r="AN1358" s="24"/>
      <c r="AO1358" s="24"/>
      <c r="AP1358" s="24"/>
      <c r="AQ1358" s="24"/>
      <c r="AR1358" s="24"/>
      <c r="AS1358" s="24"/>
      <c r="AT1358" s="24"/>
      <c r="AU1358" s="24"/>
      <c r="AV1358" s="24"/>
      <c r="AW1358" s="24"/>
      <c r="AX1358" s="24"/>
      <c r="AY1358" s="24"/>
    </row>
    <row r="1359" spans="1:51" x14ac:dyDescent="0.35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  <c r="Y1359" s="24"/>
      <c r="Z1359" s="24"/>
      <c r="AA1359" s="24"/>
      <c r="AB1359" s="24"/>
      <c r="AC1359" s="24"/>
      <c r="AD1359" s="24"/>
      <c r="AE1359" s="24"/>
      <c r="AF1359" s="24"/>
      <c r="AG1359" s="24"/>
      <c r="AH1359" s="24"/>
      <c r="AI1359" s="24"/>
      <c r="AJ1359" s="24"/>
      <c r="AK1359" s="24"/>
      <c r="AL1359" s="24"/>
      <c r="AM1359" s="24"/>
      <c r="AN1359" s="24"/>
      <c r="AO1359" s="24"/>
      <c r="AP1359" s="24"/>
      <c r="AQ1359" s="24"/>
      <c r="AR1359" s="24"/>
      <c r="AS1359" s="24"/>
      <c r="AT1359" s="24"/>
      <c r="AU1359" s="24"/>
      <c r="AV1359" s="24"/>
      <c r="AW1359" s="24"/>
      <c r="AX1359" s="24"/>
      <c r="AY1359" s="24"/>
    </row>
    <row r="1360" spans="1:51" x14ac:dyDescent="0.35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/>
      <c r="AA1360" s="24"/>
      <c r="AB1360" s="24"/>
      <c r="AC1360" s="24"/>
      <c r="AD1360" s="24"/>
      <c r="AE1360" s="24"/>
      <c r="AF1360" s="24"/>
      <c r="AG1360" s="24"/>
      <c r="AH1360" s="24"/>
      <c r="AI1360" s="24"/>
      <c r="AJ1360" s="24"/>
      <c r="AK1360" s="24"/>
      <c r="AL1360" s="24"/>
      <c r="AM1360" s="24"/>
      <c r="AN1360" s="24"/>
      <c r="AO1360" s="24"/>
      <c r="AP1360" s="24"/>
      <c r="AQ1360" s="24"/>
      <c r="AR1360" s="24"/>
      <c r="AS1360" s="24"/>
      <c r="AT1360" s="24"/>
      <c r="AU1360" s="24"/>
      <c r="AV1360" s="24"/>
      <c r="AW1360" s="24"/>
      <c r="AX1360" s="24"/>
      <c r="AY1360" s="24"/>
    </row>
    <row r="1361" spans="1:51" x14ac:dyDescent="0.35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  <c r="AA1361" s="24"/>
      <c r="AB1361" s="24"/>
      <c r="AC1361" s="24"/>
      <c r="AD1361" s="24"/>
      <c r="AE1361" s="24"/>
      <c r="AF1361" s="24"/>
      <c r="AG1361" s="24"/>
      <c r="AH1361" s="24"/>
      <c r="AI1361" s="24"/>
      <c r="AJ1361" s="24"/>
      <c r="AK1361" s="24"/>
      <c r="AL1361" s="24"/>
      <c r="AM1361" s="24"/>
      <c r="AN1361" s="24"/>
      <c r="AO1361" s="24"/>
      <c r="AP1361" s="24"/>
      <c r="AQ1361" s="24"/>
      <c r="AR1361" s="24"/>
      <c r="AS1361" s="24"/>
      <c r="AT1361" s="24"/>
      <c r="AU1361" s="24"/>
      <c r="AV1361" s="24"/>
      <c r="AW1361" s="24"/>
      <c r="AX1361" s="24"/>
      <c r="AY1361" s="24"/>
    </row>
    <row r="1362" spans="1:51" x14ac:dyDescent="0.35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X1362" s="24"/>
      <c r="Y1362" s="24"/>
      <c r="Z1362" s="24"/>
      <c r="AA1362" s="24"/>
      <c r="AB1362" s="24"/>
      <c r="AC1362" s="24"/>
      <c r="AD1362" s="24"/>
      <c r="AE1362" s="24"/>
      <c r="AF1362" s="24"/>
      <c r="AG1362" s="24"/>
      <c r="AH1362" s="24"/>
      <c r="AI1362" s="24"/>
      <c r="AJ1362" s="24"/>
      <c r="AK1362" s="24"/>
      <c r="AL1362" s="24"/>
      <c r="AM1362" s="24"/>
      <c r="AN1362" s="24"/>
      <c r="AO1362" s="24"/>
      <c r="AP1362" s="24"/>
      <c r="AQ1362" s="24"/>
      <c r="AR1362" s="24"/>
      <c r="AS1362" s="24"/>
      <c r="AT1362" s="24"/>
      <c r="AU1362" s="24"/>
      <c r="AV1362" s="24"/>
      <c r="AW1362" s="24"/>
      <c r="AX1362" s="24"/>
      <c r="AY1362" s="24"/>
    </row>
    <row r="1363" spans="1:51" x14ac:dyDescent="0.35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X1363" s="24"/>
      <c r="Y1363" s="24"/>
      <c r="Z1363" s="24"/>
      <c r="AA1363" s="24"/>
      <c r="AB1363" s="24"/>
      <c r="AC1363" s="24"/>
      <c r="AD1363" s="24"/>
      <c r="AE1363" s="24"/>
      <c r="AF1363" s="24"/>
      <c r="AG1363" s="24"/>
      <c r="AH1363" s="24"/>
      <c r="AI1363" s="24"/>
      <c r="AJ1363" s="24"/>
      <c r="AK1363" s="24"/>
      <c r="AL1363" s="24"/>
      <c r="AM1363" s="24"/>
      <c r="AN1363" s="24"/>
      <c r="AO1363" s="24"/>
      <c r="AP1363" s="24"/>
      <c r="AQ1363" s="24"/>
      <c r="AR1363" s="24"/>
      <c r="AS1363" s="24"/>
      <c r="AT1363" s="24"/>
      <c r="AU1363" s="24"/>
      <c r="AV1363" s="24"/>
      <c r="AW1363" s="24"/>
      <c r="AX1363" s="24"/>
      <c r="AY1363" s="24"/>
    </row>
    <row r="1364" spans="1:51" x14ac:dyDescent="0.35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X1364" s="24"/>
      <c r="Y1364" s="24"/>
      <c r="Z1364" s="24"/>
      <c r="AA1364" s="24"/>
      <c r="AB1364" s="24"/>
      <c r="AC1364" s="24"/>
      <c r="AD1364" s="24"/>
      <c r="AE1364" s="24"/>
      <c r="AF1364" s="24"/>
      <c r="AG1364" s="24"/>
      <c r="AH1364" s="24"/>
      <c r="AI1364" s="24"/>
      <c r="AJ1364" s="24"/>
      <c r="AK1364" s="24"/>
      <c r="AL1364" s="24"/>
      <c r="AM1364" s="24"/>
      <c r="AN1364" s="24"/>
      <c r="AO1364" s="24"/>
      <c r="AP1364" s="24"/>
      <c r="AQ1364" s="24"/>
      <c r="AR1364" s="24"/>
      <c r="AS1364" s="24"/>
      <c r="AT1364" s="24"/>
      <c r="AU1364" s="24"/>
      <c r="AV1364" s="24"/>
      <c r="AW1364" s="24"/>
      <c r="AX1364" s="24"/>
      <c r="AY1364" s="24"/>
    </row>
    <row r="1365" spans="1:51" x14ac:dyDescent="0.35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  <c r="X1365" s="24"/>
      <c r="Y1365" s="24"/>
      <c r="Z1365" s="24"/>
      <c r="AA1365" s="24"/>
      <c r="AB1365" s="24"/>
      <c r="AC1365" s="24"/>
      <c r="AD1365" s="24"/>
      <c r="AE1365" s="24"/>
      <c r="AF1365" s="24"/>
      <c r="AG1365" s="24"/>
      <c r="AH1365" s="24"/>
      <c r="AI1365" s="24"/>
      <c r="AJ1365" s="24"/>
      <c r="AK1365" s="24"/>
      <c r="AL1365" s="24"/>
      <c r="AM1365" s="24"/>
      <c r="AN1365" s="24"/>
      <c r="AO1365" s="24"/>
      <c r="AP1365" s="24"/>
      <c r="AQ1365" s="24"/>
      <c r="AR1365" s="24"/>
      <c r="AS1365" s="24"/>
      <c r="AT1365" s="24"/>
      <c r="AU1365" s="24"/>
      <c r="AV1365" s="24"/>
      <c r="AW1365" s="24"/>
      <c r="AX1365" s="24"/>
      <c r="AY1365" s="24"/>
    </row>
    <row r="1366" spans="1:51" x14ac:dyDescent="0.35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  <c r="AA1366" s="24"/>
      <c r="AB1366" s="24"/>
      <c r="AC1366" s="24"/>
      <c r="AD1366" s="24"/>
      <c r="AE1366" s="24"/>
      <c r="AF1366" s="24"/>
      <c r="AG1366" s="24"/>
      <c r="AH1366" s="24"/>
      <c r="AI1366" s="24"/>
      <c r="AJ1366" s="24"/>
      <c r="AK1366" s="24"/>
      <c r="AL1366" s="24"/>
      <c r="AM1366" s="24"/>
      <c r="AN1366" s="24"/>
      <c r="AO1366" s="24"/>
      <c r="AP1366" s="24"/>
      <c r="AQ1366" s="24"/>
      <c r="AR1366" s="24"/>
      <c r="AS1366" s="24"/>
      <c r="AT1366" s="24"/>
      <c r="AU1366" s="24"/>
      <c r="AV1366" s="24"/>
      <c r="AW1366" s="24"/>
      <c r="AX1366" s="24"/>
      <c r="AY1366" s="24"/>
    </row>
    <row r="1367" spans="1:51" x14ac:dyDescent="0.35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  <c r="AA1367" s="24"/>
      <c r="AB1367" s="24"/>
      <c r="AC1367" s="24"/>
      <c r="AD1367" s="24"/>
      <c r="AE1367" s="24"/>
      <c r="AF1367" s="24"/>
      <c r="AG1367" s="24"/>
      <c r="AH1367" s="24"/>
      <c r="AI1367" s="24"/>
      <c r="AJ1367" s="24"/>
      <c r="AK1367" s="24"/>
      <c r="AL1367" s="24"/>
      <c r="AM1367" s="24"/>
      <c r="AN1367" s="24"/>
      <c r="AO1367" s="24"/>
      <c r="AP1367" s="24"/>
      <c r="AQ1367" s="24"/>
      <c r="AR1367" s="24"/>
      <c r="AS1367" s="24"/>
      <c r="AT1367" s="24"/>
      <c r="AU1367" s="24"/>
      <c r="AV1367" s="24"/>
      <c r="AW1367" s="24"/>
      <c r="AX1367" s="24"/>
      <c r="AY1367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Assurances_Auto</vt:lpstr>
      <vt:lpstr>Partie_||</vt:lpstr>
      <vt:lpstr>dashbord</vt:lpstr>
      <vt:lpstr>assurance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el ghoul</cp:lastModifiedBy>
  <dcterms:created xsi:type="dcterms:W3CDTF">2025-12-28T12:53:27Z</dcterms:created>
  <dcterms:modified xsi:type="dcterms:W3CDTF">2026-01-01T11:12:23Z</dcterms:modified>
</cp:coreProperties>
</file>